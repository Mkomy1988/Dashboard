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Accounts\@Gmail.com\"/>
    </mc:Choice>
  </mc:AlternateContent>
  <xr:revisionPtr revIDLastSave="0" documentId="13_ncr:1_{AAE58274-3685-4249-A0E4-1F405453557D}" xr6:coauthVersionLast="45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Interface" sheetId="14" r:id="rId1"/>
    <sheet name="Dashboard" sheetId="7" r:id="rId2"/>
    <sheet name="Dashboard (2)" sheetId="12" r:id="rId3"/>
    <sheet name="caluculation" sheetId="8" r:id="rId4"/>
    <sheet name="WL Records" sheetId="3" r:id="rId5"/>
    <sheet name="Updates_Database" sheetId="9" r:id="rId6"/>
    <sheet name="SearchData" sheetId="10" r:id="rId7"/>
    <sheet name="Login" sheetId="13" r:id="rId8"/>
  </sheets>
  <functionGroups builtInGroupCount="19"/>
  <definedNames>
    <definedName name="_xlnm._FilterDatabase" localSheetId="3" hidden="1">caluculation!$B$38:$AU$38</definedName>
    <definedName name="_xlnm._FilterDatabase" localSheetId="5" hidden="1">Updates_Database!$A$1:$N$2</definedName>
    <definedName name="_xlnm._FilterDatabase" localSheetId="4" hidden="1">'WL Records'!$A$1:$H$913</definedName>
    <definedName name="CurrentUser">Login!$O$8</definedName>
    <definedName name="SheetNames">OFFSET(Login!$Q$8,,,COUNTA(Login!$Q$8:'Login'!$Q$100))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6" i="8" l="1"/>
  <c r="P57" i="8" s="1"/>
  <c r="P58" i="8" s="1"/>
  <c r="K1" i="8" l="1"/>
  <c r="S1" i="8" s="1"/>
  <c r="D18" i="8" l="1"/>
  <c r="D20" i="8"/>
  <c r="D16" i="8"/>
  <c r="D19" i="8"/>
  <c r="D21" i="8"/>
  <c r="D17" i="8"/>
  <c r="D15" i="8"/>
  <c r="C16" i="8" l="1"/>
  <c r="H16" i="8" s="1" a="1"/>
  <c r="H16" i="8" s="1"/>
  <c r="I16" i="8" s="1"/>
  <c r="C17" i="8"/>
  <c r="H17" i="8" s="1" a="1"/>
  <c r="H17" i="8" s="1"/>
  <c r="I17" i="8" s="1"/>
  <c r="C18" i="8"/>
  <c r="H18" i="8" s="1" a="1"/>
  <c r="H18" i="8" s="1"/>
  <c r="I18" i="8" s="1"/>
  <c r="C19" i="8"/>
  <c r="H19" i="8" s="1" a="1"/>
  <c r="H19" i="8" s="1"/>
  <c r="I19" i="8" s="1"/>
  <c r="C20" i="8"/>
  <c r="H20" i="8" s="1" a="1"/>
  <c r="H20" i="8" s="1"/>
  <c r="I20" i="8" s="1"/>
  <c r="C21" i="8"/>
  <c r="H21" i="8" s="1" a="1"/>
  <c r="H21" i="8" s="1"/>
  <c r="I21" i="8" s="1"/>
  <c r="C15" i="8"/>
  <c r="C8" i="8"/>
  <c r="R57" i="8" l="1"/>
  <c r="R58" i="8" s="1"/>
  <c r="R61" i="8" s="1"/>
  <c r="R63" i="8" s="1"/>
  <c r="H15" i="8" a="1"/>
  <c r="H15" i="8" s="1"/>
  <c r="I15" i="8" s="1"/>
  <c r="J15" i="8" s="1"/>
  <c r="K15" i="8" s="1"/>
  <c r="L15" i="8" s="1" a="1"/>
  <c r="L15" i="8" s="1"/>
  <c r="E21" i="8"/>
  <c r="E15" i="8"/>
  <c r="E20" i="8"/>
  <c r="E18" i="8"/>
  <c r="E19" i="8"/>
  <c r="E17" i="8"/>
  <c r="E16" i="8"/>
  <c r="B26" i="8" l="1"/>
  <c r="N26" i="8" s="1"/>
  <c r="B9" i="12"/>
  <c r="J19" i="8"/>
  <c r="K19" i="8" s="1"/>
  <c r="L19" i="8" s="1" a="1"/>
  <c r="L19" i="8" s="1"/>
  <c r="J21" i="8"/>
  <c r="K21" i="8" s="1"/>
  <c r="L21" i="8" s="1" a="1"/>
  <c r="L21" i="8" s="1"/>
  <c r="J16" i="8"/>
  <c r="K16" i="8" s="1"/>
  <c r="L16" i="8" s="1" a="1"/>
  <c r="L16" i="8" s="1"/>
  <c r="O16" i="8" s="1" a="1"/>
  <c r="O16" i="8" s="1"/>
  <c r="J17" i="8"/>
  <c r="K17" i="8" s="1"/>
  <c r="L17" i="8" s="1" a="1"/>
  <c r="L17" i="8" s="1"/>
  <c r="J18" i="8"/>
  <c r="K18" i="8" s="1"/>
  <c r="L18" i="8" s="1" a="1"/>
  <c r="L18" i="8" s="1"/>
  <c r="J20" i="8"/>
  <c r="K20" i="8" s="1"/>
  <c r="L20" i="8" s="1" a="1"/>
  <c r="L20" i="8" s="1"/>
  <c r="J26" i="8"/>
  <c r="H26" i="8"/>
  <c r="O18" i="8" a="1"/>
  <c r="O18" i="8" s="1"/>
  <c r="B12" i="7"/>
  <c r="O15" i="8" a="1"/>
  <c r="O15" i="8" s="1"/>
  <c r="B9" i="7"/>
  <c r="N15" i="8" a="1"/>
  <c r="N15" i="8" s="1"/>
  <c r="M15" i="8" a="1"/>
  <c r="M15" i="8" s="1"/>
  <c r="N16" i="8" a="1"/>
  <c r="N16" i="8" s="1"/>
  <c r="F18" i="8"/>
  <c r="F15" i="8"/>
  <c r="F16" i="8"/>
  <c r="F17" i="8"/>
  <c r="F20" i="8"/>
  <c r="F19" i="8"/>
  <c r="F21" i="8"/>
  <c r="M16" i="8" l="1" a="1"/>
  <c r="M16" i="8" s="1"/>
  <c r="C10" i="7" s="1"/>
  <c r="G26" i="8"/>
  <c r="F26" i="8"/>
  <c r="C26" i="8"/>
  <c r="B10" i="7"/>
  <c r="K26" i="8"/>
  <c r="L26" i="8"/>
  <c r="I26" i="8"/>
  <c r="E26" i="8"/>
  <c r="D26" i="8"/>
  <c r="D10" i="7"/>
  <c r="D10" i="12"/>
  <c r="C10" i="12"/>
  <c r="E12" i="7"/>
  <c r="E12" i="12"/>
  <c r="B31" i="8"/>
  <c r="C31" i="8" s="1"/>
  <c r="B14" i="12"/>
  <c r="B29" i="8"/>
  <c r="M29" i="8" s="1"/>
  <c r="B12" i="12"/>
  <c r="M18" i="8" a="1"/>
  <c r="M18" i="8" s="1"/>
  <c r="E10" i="7"/>
  <c r="E10" i="12"/>
  <c r="N18" i="8" a="1"/>
  <c r="N18" i="8" s="1"/>
  <c r="M26" i="8"/>
  <c r="B28" i="8"/>
  <c r="D28" i="8" s="1"/>
  <c r="B11" i="12"/>
  <c r="C9" i="7"/>
  <c r="C9" i="12"/>
  <c r="B27" i="8"/>
  <c r="D27" i="8" s="1"/>
  <c r="B10" i="12"/>
  <c r="B32" i="8"/>
  <c r="E32" i="8" s="1"/>
  <c r="B15" i="12"/>
  <c r="B30" i="8"/>
  <c r="I30" i="8" s="1"/>
  <c r="B13" i="12"/>
  <c r="D9" i="7"/>
  <c r="D9" i="12"/>
  <c r="E9" i="7"/>
  <c r="E9" i="12"/>
  <c r="M27" i="8"/>
  <c r="M20" i="8" a="1"/>
  <c r="M20" i="8" s="1"/>
  <c r="C28" i="8"/>
  <c r="M17" i="8" a="1"/>
  <c r="M17" i="8" s="1"/>
  <c r="O17" i="8" a="1"/>
  <c r="O17" i="8" s="1"/>
  <c r="B11" i="7"/>
  <c r="N17" i="8" a="1"/>
  <c r="N17" i="8" s="1"/>
  <c r="K27" i="8"/>
  <c r="C27" i="8"/>
  <c r="H27" i="8"/>
  <c r="M19" i="8" a="1"/>
  <c r="M19" i="8" s="1"/>
  <c r="O19" i="8" a="1"/>
  <c r="O19" i="8" s="1"/>
  <c r="N19" i="8" a="1"/>
  <c r="N19" i="8" s="1"/>
  <c r="B13" i="7"/>
  <c r="B15" i="7"/>
  <c r="G32" i="8"/>
  <c r="L32" i="8"/>
  <c r="O21" i="8" a="1"/>
  <c r="O21" i="8" s="1"/>
  <c r="K32" i="8"/>
  <c r="M21" i="8" a="1"/>
  <c r="M21" i="8" s="1"/>
  <c r="N21" i="8" a="1"/>
  <c r="N21" i="8" s="1"/>
  <c r="H32" i="8"/>
  <c r="I31" i="8"/>
  <c r="J29" i="8"/>
  <c r="C29" i="8"/>
  <c r="F29" i="8"/>
  <c r="H29" i="8"/>
  <c r="E29" i="8"/>
  <c r="D29" i="8"/>
  <c r="N20" i="8" a="1"/>
  <c r="N20" i="8" s="1"/>
  <c r="B14" i="7"/>
  <c r="I29" i="8"/>
  <c r="D31" i="8"/>
  <c r="O20" i="8" a="1"/>
  <c r="O20" i="8" s="1"/>
  <c r="P16" i="8" a="1"/>
  <c r="P16" i="8" s="1"/>
  <c r="P21" i="8" a="1"/>
  <c r="P21" i="8" s="1"/>
  <c r="P18" i="8" a="1"/>
  <c r="P18" i="8" s="1"/>
  <c r="P15" i="8" a="1"/>
  <c r="P15" i="8" s="1"/>
  <c r="P19" i="8" a="1"/>
  <c r="P19" i="8" s="1"/>
  <c r="P20" i="8" a="1"/>
  <c r="P20" i="8" s="1"/>
  <c r="P17" i="8" a="1"/>
  <c r="P17" i="8" s="1"/>
  <c r="F32" i="8" l="1"/>
  <c r="D32" i="8"/>
  <c r="M32" i="8"/>
  <c r="C32" i="8"/>
  <c r="H28" i="8"/>
  <c r="F30" i="8"/>
  <c r="N31" i="8"/>
  <c r="M31" i="8"/>
  <c r="I32" i="8"/>
  <c r="J32" i="8"/>
  <c r="E28" i="8"/>
  <c r="G31" i="8"/>
  <c r="N32" i="8"/>
  <c r="I28" i="8"/>
  <c r="M30" i="8"/>
  <c r="K31" i="8"/>
  <c r="L29" i="8"/>
  <c r="H31" i="8"/>
  <c r="K29" i="8"/>
  <c r="L30" i="8"/>
  <c r="C30" i="8"/>
  <c r="K28" i="8"/>
  <c r="F31" i="8"/>
  <c r="E31" i="8"/>
  <c r="N29" i="8"/>
  <c r="H30" i="8"/>
  <c r="F28" i="8"/>
  <c r="M28" i="8"/>
  <c r="L31" i="8"/>
  <c r="J31" i="8"/>
  <c r="G29" i="8"/>
  <c r="E30" i="8"/>
  <c r="N30" i="8"/>
  <c r="J28" i="8"/>
  <c r="L28" i="8"/>
  <c r="N28" i="8"/>
  <c r="G28" i="8"/>
  <c r="F12" i="7"/>
  <c r="G12" i="7" s="1"/>
  <c r="F12" i="12"/>
  <c r="G12" i="12" s="1"/>
  <c r="F15" i="7"/>
  <c r="G15" i="7" s="1"/>
  <c r="F15" i="12"/>
  <c r="G15" i="12" s="1"/>
  <c r="D13" i="7"/>
  <c r="D13" i="12"/>
  <c r="G30" i="8"/>
  <c r="J30" i="8"/>
  <c r="K30" i="8"/>
  <c r="D30" i="8"/>
  <c r="C14" i="7"/>
  <c r="C14" i="12"/>
  <c r="E11" i="7"/>
  <c r="E11" i="12"/>
  <c r="D12" i="7"/>
  <c r="D12" i="12"/>
  <c r="F11" i="7"/>
  <c r="G11" i="7" s="1"/>
  <c r="F11" i="12"/>
  <c r="G11" i="12" s="1"/>
  <c r="E13" i="7"/>
  <c r="E13" i="12"/>
  <c r="D15" i="7"/>
  <c r="D15" i="12"/>
  <c r="E15" i="7"/>
  <c r="E15" i="12"/>
  <c r="D11" i="7"/>
  <c r="D11" i="12"/>
  <c r="L27" i="8"/>
  <c r="G27" i="8"/>
  <c r="F27" i="8"/>
  <c r="I27" i="8"/>
  <c r="J27" i="8"/>
  <c r="E27" i="8"/>
  <c r="N27" i="8"/>
  <c r="F10" i="7"/>
  <c r="G10" i="7" s="1"/>
  <c r="F10" i="12"/>
  <c r="G10" i="12" s="1"/>
  <c r="F14" i="7"/>
  <c r="G14" i="7" s="1"/>
  <c r="F14" i="12"/>
  <c r="G14" i="12" s="1"/>
  <c r="F13" i="7"/>
  <c r="G13" i="7" s="1"/>
  <c r="F13" i="12"/>
  <c r="G13" i="12" s="1"/>
  <c r="E14" i="7"/>
  <c r="E14" i="12"/>
  <c r="C13" i="7"/>
  <c r="C13" i="12"/>
  <c r="C11" i="7"/>
  <c r="C11" i="12"/>
  <c r="C12" i="7"/>
  <c r="C12" i="12"/>
  <c r="F9" i="7"/>
  <c r="G9" i="7" s="1"/>
  <c r="F9" i="12"/>
  <c r="G9" i="12" s="1"/>
  <c r="D14" i="7"/>
  <c r="D14" i="12"/>
  <c r="C15" i="7"/>
  <c r="C15" i="12"/>
  <c r="B39" i="8" a="1"/>
  <c r="B39" i="8" s="1"/>
  <c r="D39" i="8" s="1"/>
  <c r="L39" i="8" l="1"/>
  <c r="F39" i="8"/>
  <c r="K39" i="8"/>
  <c r="I39" i="8"/>
  <c r="M39" i="8"/>
  <c r="G39" i="8"/>
  <c r="J39" i="8"/>
  <c r="E39" i="8"/>
  <c r="C39" i="8"/>
  <c r="H39" i="8"/>
  <c r="N39" i="8"/>
  <c r="B40" i="8" l="1" a="1"/>
  <c r="B40" i="8" s="1"/>
  <c r="D40" i="8" s="1"/>
  <c r="H40" i="8" l="1"/>
  <c r="E40" i="8"/>
  <c r="K40" i="8"/>
  <c r="L40" i="8"/>
  <c r="J40" i="8"/>
  <c r="N40" i="8"/>
  <c r="G40" i="8"/>
  <c r="F40" i="8"/>
  <c r="C40" i="8"/>
  <c r="I40" i="8"/>
  <c r="M40" i="8"/>
  <c r="B41" i="8" l="1" a="1"/>
  <c r="B41" i="8" s="1"/>
  <c r="D41" i="8" s="1"/>
  <c r="B42" i="8" l="1" a="1"/>
  <c r="B42" i="8" s="1"/>
  <c r="H42" i="8" s="1"/>
  <c r="I41" i="8"/>
  <c r="M41" i="8"/>
  <c r="C41" i="8"/>
  <c r="N41" i="8"/>
  <c r="E41" i="8"/>
  <c r="L41" i="8"/>
  <c r="K41" i="8"/>
  <c r="J41" i="8"/>
  <c r="F41" i="8"/>
  <c r="G41" i="8"/>
  <c r="H41" i="8"/>
  <c r="B43" i="8" l="1" a="1"/>
  <c r="B43" i="8" s="1"/>
  <c r="D42" i="8"/>
  <c r="J42" i="8"/>
  <c r="N42" i="8"/>
  <c r="L42" i="8"/>
  <c r="G42" i="8"/>
  <c r="M42" i="8"/>
  <c r="I42" i="8"/>
  <c r="E42" i="8"/>
  <c r="K42" i="8"/>
  <c r="C42" i="8"/>
  <c r="F42" i="8"/>
  <c r="D43" i="8" l="1"/>
  <c r="C43" i="8"/>
  <c r="H43" i="8"/>
  <c r="I43" i="8"/>
  <c r="J43" i="8"/>
  <c r="N43" i="8"/>
  <c r="K43" i="8"/>
  <c r="G43" i="8"/>
  <c r="E43" i="8"/>
  <c r="L43" i="8"/>
  <c r="F43" i="8"/>
  <c r="M43" i="8"/>
  <c r="B44" i="8" a="1"/>
  <c r="B44" i="8" s="1"/>
  <c r="H44" i="8" s="1"/>
  <c r="F44" i="8" l="1"/>
  <c r="E44" i="8"/>
  <c r="K44" i="8"/>
  <c r="J44" i="8"/>
  <c r="G44" i="8"/>
  <c r="L44" i="8"/>
  <c r="C44" i="8"/>
  <c r="B45" i="8" a="1"/>
  <c r="B45" i="8" s="1"/>
  <c r="I44" i="8"/>
  <c r="N44" i="8"/>
  <c r="M44" i="8"/>
  <c r="D44" i="8"/>
  <c r="H45" i="8" l="1"/>
  <c r="D45" i="8"/>
  <c r="C45" i="8"/>
  <c r="N45" i="8"/>
  <c r="I45" i="8"/>
  <c r="L45" i="8"/>
  <c r="B46" i="8" a="1"/>
  <c r="B46" i="8" s="1"/>
  <c r="K45" i="8"/>
  <c r="E45" i="8"/>
  <c r="M45" i="8"/>
  <c r="F45" i="8"/>
  <c r="J45" i="8"/>
  <c r="G45" i="8"/>
  <c r="F46" i="8" l="1"/>
  <c r="H46" i="8"/>
  <c r="K46" i="8"/>
  <c r="I46" i="8"/>
  <c r="M46" i="8"/>
  <c r="D46" i="8"/>
  <c r="G46" i="8"/>
  <c r="N46" i="8"/>
  <c r="C46" i="8"/>
  <c r="E46" i="8"/>
  <c r="J46" i="8"/>
  <c r="B47" i="8" a="1"/>
  <c r="B47" i="8" s="1"/>
  <c r="D47" i="8" s="1"/>
  <c r="L46" i="8"/>
  <c r="N47" i="8" l="1"/>
  <c r="E47" i="8"/>
  <c r="M47" i="8"/>
  <c r="C47" i="8"/>
  <c r="F47" i="8"/>
  <c r="I47" i="8"/>
  <c r="K47" i="8"/>
  <c r="G47" i="8"/>
  <c r="L47" i="8"/>
  <c r="B48" i="8" a="1"/>
  <c r="B48" i="8" s="1"/>
  <c r="D48" i="8" s="1"/>
  <c r="H47" i="8"/>
  <c r="J47" i="8"/>
  <c r="B49" i="8" l="1" a="1"/>
  <c r="B49" i="8" s="1"/>
  <c r="D49" i="8" s="1"/>
  <c r="K48" i="8"/>
  <c r="F48" i="8"/>
  <c r="H48" i="8"/>
  <c r="G48" i="8"/>
  <c r="N48" i="8"/>
  <c r="I48" i="8"/>
  <c r="L48" i="8"/>
  <c r="J48" i="8"/>
  <c r="C48" i="8"/>
  <c r="E48" i="8"/>
  <c r="M48" i="8"/>
  <c r="B50" i="8" l="1" a="1"/>
  <c r="B50" i="8" s="1"/>
  <c r="D50" i="8" s="1"/>
  <c r="J49" i="8"/>
  <c r="K49" i="8"/>
  <c r="I49" i="8"/>
  <c r="C49" i="8"/>
  <c r="G49" i="8"/>
  <c r="H49" i="8"/>
  <c r="N49" i="8"/>
  <c r="L49" i="8"/>
  <c r="F49" i="8"/>
  <c r="E49" i="8"/>
  <c r="M49" i="8"/>
  <c r="B51" i="8" l="1" a="1"/>
  <c r="B51" i="8" s="1"/>
  <c r="K51" i="8" s="1"/>
  <c r="G50" i="8"/>
  <c r="H50" i="8"/>
  <c r="M50" i="8"/>
  <c r="E50" i="8"/>
  <c r="N50" i="8"/>
  <c r="J50" i="8"/>
  <c r="K50" i="8"/>
  <c r="C50" i="8"/>
  <c r="F50" i="8"/>
  <c r="I50" i="8"/>
  <c r="L50" i="8"/>
  <c r="G51" i="8" l="1"/>
  <c r="M51" i="8"/>
  <c r="N51" i="8"/>
  <c r="E51" i="8"/>
  <c r="F51" i="8"/>
  <c r="J51" i="8"/>
  <c r="L51" i="8"/>
  <c r="I51" i="8"/>
  <c r="H51" i="8"/>
  <c r="C51" i="8"/>
  <c r="B52" i="8" a="1"/>
  <c r="B52" i="8" s="1"/>
  <c r="D51" i="8"/>
  <c r="D52" i="8" l="1"/>
  <c r="I52" i="8"/>
  <c r="M52" i="8"/>
  <c r="K52" i="8"/>
  <c r="F52" i="8"/>
  <c r="N52" i="8"/>
  <c r="C52" i="8"/>
  <c r="G52" i="8"/>
  <c r="E52" i="8"/>
  <c r="L52" i="8"/>
  <c r="H52" i="8"/>
  <c r="J52" i="8"/>
  <c r="B53" i="8" a="1"/>
  <c r="B53" i="8" s="1"/>
  <c r="D53" i="8" l="1"/>
  <c r="G53" i="8"/>
  <c r="L53" i="8"/>
  <c r="I53" i="8"/>
  <c r="N53" i="8"/>
  <c r="E53" i="8"/>
  <c r="J53" i="8"/>
  <c r="M53" i="8"/>
  <c r="C53" i="8"/>
  <c r="K53" i="8"/>
  <c r="F53" i="8"/>
  <c r="H53" i="8"/>
  <c r="B54" i="8" a="1"/>
  <c r="B54" i="8" s="1"/>
  <c r="H54" i="8" l="1"/>
  <c r="C54" i="8"/>
  <c r="D54" i="8"/>
  <c r="G54" i="8"/>
  <c r="L54" i="8"/>
  <c r="J54" i="8"/>
  <c r="K54" i="8"/>
  <c r="I54" i="8"/>
  <c r="M54" i="8"/>
  <c r="E54" i="8"/>
  <c r="F54" i="8"/>
  <c r="N54" i="8"/>
  <c r="B55" i="8" a="1"/>
  <c r="B55" i="8" s="1"/>
  <c r="D55" i="8" l="1"/>
  <c r="K55" i="8"/>
  <c r="F55" i="8"/>
  <c r="C55" i="8"/>
  <c r="M55" i="8"/>
  <c r="H55" i="8"/>
  <c r="L55" i="8"/>
  <c r="J55" i="8"/>
  <c r="E55" i="8"/>
  <c r="I55" i="8"/>
  <c r="N55" i="8"/>
  <c r="G55" i="8"/>
  <c r="B56" i="8" a="1"/>
  <c r="B56" i="8" s="1"/>
  <c r="D56" i="8" l="1"/>
  <c r="K56" i="8"/>
  <c r="C56" i="8"/>
  <c r="J56" i="8"/>
  <c r="I56" i="8"/>
  <c r="G56" i="8"/>
  <c r="N56" i="8"/>
  <c r="E56" i="8"/>
  <c r="L56" i="8"/>
  <c r="F56" i="8"/>
  <c r="H56" i="8"/>
  <c r="M56" i="8"/>
  <c r="B57" i="8" a="1"/>
  <c r="B57" i="8" s="1"/>
  <c r="D57" i="8" l="1"/>
  <c r="K57" i="8"/>
  <c r="H57" i="8"/>
  <c r="G57" i="8"/>
  <c r="F57" i="8"/>
  <c r="M57" i="8"/>
  <c r="I57" i="8"/>
  <c r="L57" i="8"/>
  <c r="N57" i="8"/>
  <c r="J57" i="8"/>
  <c r="C57" i="8"/>
  <c r="E57" i="8"/>
  <c r="B58" i="8" a="1"/>
  <c r="B58" i="8" s="1"/>
  <c r="B59" i="8" s="1" a="1"/>
  <c r="B59" i="8" s="1"/>
  <c r="D59" i="8" l="1"/>
  <c r="E59" i="8"/>
  <c r="L59" i="8"/>
  <c r="C59" i="8"/>
  <c r="I59" i="8"/>
  <c r="K59" i="8"/>
  <c r="G59" i="8"/>
  <c r="H59" i="8"/>
  <c r="N59" i="8"/>
  <c r="J59" i="8"/>
  <c r="F59" i="8"/>
  <c r="M59" i="8"/>
  <c r="D58" i="8"/>
  <c r="N58" i="8"/>
  <c r="H58" i="8"/>
  <c r="J58" i="8"/>
  <c r="M58" i="8"/>
  <c r="L58" i="8"/>
  <c r="C58" i="8"/>
  <c r="I58" i="8"/>
  <c r="E58" i="8"/>
  <c r="K58" i="8"/>
  <c r="G58" i="8"/>
  <c r="F58" i="8"/>
  <c r="B60" i="8" a="1"/>
  <c r="B60" i="8" s="1"/>
  <c r="E60" i="8" s="1"/>
  <c r="H60" i="8" l="1"/>
  <c r="L60" i="8"/>
  <c r="K60" i="8"/>
  <c r="B61" i="8" a="1"/>
  <c r="B61" i="8" s="1"/>
  <c r="D61" i="8" s="1"/>
  <c r="M60" i="8"/>
  <c r="G60" i="8"/>
  <c r="I60" i="8"/>
  <c r="F60" i="8"/>
  <c r="N60" i="8"/>
  <c r="J60" i="8"/>
  <c r="C60" i="8"/>
  <c r="D60" i="8"/>
  <c r="I61" i="8" l="1"/>
  <c r="M61" i="8"/>
  <c r="B62" i="8" a="1"/>
  <c r="B62" i="8" s="1"/>
  <c r="D62" i="8" s="1"/>
  <c r="H61" i="8"/>
  <c r="C61" i="8"/>
  <c r="K61" i="8"/>
  <c r="L61" i="8"/>
  <c r="N61" i="8"/>
  <c r="E61" i="8"/>
  <c r="F61" i="8"/>
  <c r="G61" i="8"/>
  <c r="J61" i="8"/>
  <c r="B63" i="8" l="1" a="1"/>
  <c r="B63" i="8" s="1"/>
  <c r="D63" i="8" s="1"/>
  <c r="C62" i="8"/>
  <c r="G62" i="8"/>
  <c r="J62" i="8"/>
  <c r="M62" i="8"/>
  <c r="E62" i="8"/>
  <c r="H62" i="8"/>
  <c r="L62" i="8"/>
  <c r="I62" i="8"/>
  <c r="N62" i="8"/>
  <c r="F62" i="8"/>
  <c r="K62" i="8"/>
  <c r="B64" i="8" l="1" a="1"/>
  <c r="B64" i="8" s="1"/>
  <c r="D64" i="8" s="1"/>
  <c r="J63" i="8"/>
  <c r="L63" i="8"/>
  <c r="K63" i="8"/>
  <c r="N63" i="8"/>
  <c r="M63" i="8"/>
  <c r="I63" i="8"/>
  <c r="F63" i="8"/>
  <c r="G63" i="8"/>
  <c r="H63" i="8"/>
  <c r="E63" i="8"/>
  <c r="C63" i="8"/>
  <c r="B65" i="8" l="1" a="1"/>
  <c r="B65" i="8" s="1"/>
  <c r="D65" i="8" s="1"/>
  <c r="I64" i="8"/>
  <c r="E64" i="8"/>
  <c r="G64" i="8"/>
  <c r="H64" i="8"/>
  <c r="C64" i="8"/>
  <c r="K64" i="8"/>
  <c r="N64" i="8"/>
  <c r="L64" i="8"/>
  <c r="F64" i="8"/>
  <c r="M64" i="8"/>
  <c r="J64" i="8"/>
  <c r="B66" i="8" l="1" a="1"/>
  <c r="B66" i="8" s="1"/>
  <c r="D66" i="8" s="1"/>
  <c r="H65" i="8"/>
  <c r="N65" i="8"/>
  <c r="F65" i="8"/>
  <c r="E65" i="8"/>
  <c r="I65" i="8"/>
  <c r="G65" i="8"/>
  <c r="C65" i="8"/>
  <c r="L65" i="8"/>
  <c r="M65" i="8"/>
  <c r="K65" i="8"/>
  <c r="J65" i="8"/>
  <c r="B67" i="8" l="1" a="1"/>
  <c r="B67" i="8" s="1"/>
  <c r="M67" i="8" s="1"/>
  <c r="I66" i="8"/>
  <c r="L66" i="8"/>
  <c r="C66" i="8"/>
  <c r="N66" i="8"/>
  <c r="G66" i="8"/>
  <c r="F66" i="8"/>
  <c r="J66" i="8"/>
  <c r="H66" i="8"/>
  <c r="M66" i="8"/>
  <c r="E66" i="8"/>
  <c r="K66" i="8"/>
  <c r="G67" i="8" l="1"/>
  <c r="I67" i="8"/>
  <c r="E67" i="8"/>
  <c r="F67" i="8"/>
  <c r="K67" i="8"/>
  <c r="H67" i="8"/>
  <c r="C67" i="8"/>
  <c r="L67" i="8"/>
  <c r="N67" i="8"/>
  <c r="J67" i="8"/>
  <c r="B68" i="8" a="1"/>
  <c r="B68" i="8" s="1"/>
  <c r="D67" i="8"/>
  <c r="D68" i="8" l="1"/>
  <c r="K68" i="8"/>
  <c r="F68" i="8"/>
  <c r="J68" i="8"/>
  <c r="G68" i="8"/>
  <c r="H68" i="8"/>
  <c r="L68" i="8"/>
  <c r="I68" i="8"/>
  <c r="E68" i="8"/>
  <c r="C68" i="8"/>
  <c r="M68" i="8"/>
  <c r="N68" i="8"/>
  <c r="B69" i="8" a="1"/>
  <c r="B69" i="8" s="1"/>
  <c r="M69" i="8" l="1"/>
  <c r="D69" i="8"/>
  <c r="C69" i="8"/>
  <c r="F69" i="8"/>
  <c r="N69" i="8"/>
  <c r="J69" i="8"/>
  <c r="K69" i="8"/>
  <c r="G69" i="8"/>
  <c r="E69" i="8"/>
  <c r="H69" i="8"/>
  <c r="L69" i="8"/>
  <c r="I69" i="8"/>
  <c r="B70" i="8" a="1"/>
  <c r="B70" i="8" s="1"/>
  <c r="L70" i="8" l="1"/>
  <c r="D70" i="8"/>
  <c r="H70" i="8"/>
  <c r="C70" i="8"/>
  <c r="F70" i="8"/>
  <c r="J70" i="8"/>
  <c r="M70" i="8"/>
  <c r="G70" i="8"/>
  <c r="E70" i="8"/>
  <c r="N70" i="8"/>
  <c r="I70" i="8"/>
  <c r="K70" i="8"/>
  <c r="B71" i="8" a="1"/>
  <c r="B71" i="8" s="1"/>
  <c r="M71" i="8" l="1"/>
  <c r="D71" i="8"/>
  <c r="L71" i="8"/>
  <c r="E71" i="8"/>
  <c r="G71" i="8"/>
  <c r="N71" i="8"/>
  <c r="J71" i="8"/>
  <c r="K71" i="8"/>
  <c r="C71" i="8"/>
  <c r="I71" i="8"/>
  <c r="F71" i="8"/>
  <c r="H71" i="8"/>
  <c r="B72" i="8" a="1"/>
  <c r="B72" i="8" s="1"/>
  <c r="B73" i="8" s="1" a="1"/>
  <c r="B73" i="8" s="1"/>
  <c r="C73" i="8" l="1"/>
  <c r="F73" i="8"/>
  <c r="I73" i="8"/>
  <c r="J73" i="8"/>
  <c r="E73" i="8"/>
  <c r="N73" i="8"/>
  <c r="H73" i="8"/>
  <c r="D73" i="8"/>
  <c r="L73" i="8"/>
  <c r="G73" i="8"/>
  <c r="M73" i="8"/>
  <c r="K73" i="8"/>
  <c r="B74" i="8" a="1"/>
  <c r="B74" i="8" s="1"/>
  <c r="H74" i="8" s="1"/>
  <c r="N72" i="8"/>
  <c r="D72" i="8"/>
  <c r="E72" i="8"/>
  <c r="J72" i="8"/>
  <c r="G72" i="8"/>
  <c r="F72" i="8"/>
  <c r="H72" i="8"/>
  <c r="I72" i="8"/>
  <c r="C72" i="8"/>
  <c r="L72" i="8"/>
  <c r="K72" i="8"/>
  <c r="M72" i="8"/>
  <c r="K74" i="8" l="1"/>
  <c r="I74" i="8"/>
  <c r="N74" i="8"/>
  <c r="C74" i="8"/>
  <c r="L74" i="8"/>
  <c r="D74" i="8"/>
  <c r="B75" i="8" a="1"/>
  <c r="B75" i="8" s="1"/>
  <c r="D75" i="8" s="1"/>
  <c r="G74" i="8"/>
  <c r="M74" i="8"/>
  <c r="J74" i="8"/>
  <c r="E74" i="8"/>
  <c r="F74" i="8"/>
  <c r="B76" i="8" l="1" a="1"/>
  <c r="B76" i="8" s="1"/>
  <c r="I76" i="8" s="1"/>
  <c r="C75" i="8"/>
  <c r="H75" i="8"/>
  <c r="E75" i="8"/>
  <c r="M75" i="8"/>
  <c r="J75" i="8"/>
  <c r="N75" i="8"/>
  <c r="I75" i="8"/>
  <c r="F75" i="8"/>
  <c r="G75" i="8"/>
  <c r="L75" i="8"/>
  <c r="K75" i="8"/>
  <c r="N76" i="8" l="1"/>
  <c r="L76" i="8"/>
  <c r="M76" i="8"/>
  <c r="B77" i="8" a="1"/>
  <c r="B77" i="8" s="1"/>
  <c r="F77" i="8" s="1"/>
  <c r="G76" i="8"/>
  <c r="H76" i="8"/>
  <c r="C76" i="8"/>
  <c r="D76" i="8"/>
  <c r="K76" i="8"/>
  <c r="J76" i="8"/>
  <c r="F76" i="8"/>
  <c r="E76" i="8"/>
  <c r="M77" i="8" l="1"/>
  <c r="E77" i="8"/>
  <c r="G77" i="8"/>
  <c r="I77" i="8"/>
  <c r="B78" i="8" a="1"/>
  <c r="B78" i="8" s="1"/>
  <c r="L78" i="8" s="1"/>
  <c r="H77" i="8"/>
  <c r="D77" i="8"/>
  <c r="L77" i="8"/>
  <c r="N77" i="8"/>
  <c r="J77" i="8"/>
  <c r="K77" i="8"/>
  <c r="C77" i="8"/>
  <c r="N78" i="8" l="1"/>
  <c r="I78" i="8"/>
  <c r="C78" i="8"/>
  <c r="M78" i="8"/>
  <c r="F78" i="8"/>
  <c r="B79" i="8" a="1"/>
  <c r="B79" i="8" s="1"/>
  <c r="N79" i="8" s="1"/>
  <c r="E78" i="8"/>
  <c r="D78" i="8"/>
  <c r="K78" i="8"/>
  <c r="H78" i="8"/>
  <c r="G78" i="8"/>
  <c r="J78" i="8"/>
  <c r="L79" i="8" l="1"/>
  <c r="F79" i="8"/>
  <c r="C79" i="8"/>
  <c r="M79" i="8"/>
  <c r="E79" i="8"/>
  <c r="B80" i="8" a="1"/>
  <c r="B80" i="8" s="1"/>
  <c r="B81" i="8" s="1" a="1"/>
  <c r="B81" i="8" s="1"/>
  <c r="G79" i="8"/>
  <c r="D79" i="8"/>
  <c r="H79" i="8"/>
  <c r="I79" i="8"/>
  <c r="K79" i="8"/>
  <c r="J79" i="8"/>
  <c r="G80" i="8" l="1"/>
  <c r="N80" i="8"/>
  <c r="E80" i="8"/>
  <c r="K80" i="8"/>
  <c r="M80" i="8"/>
  <c r="I80" i="8"/>
  <c r="J80" i="8"/>
  <c r="F80" i="8"/>
  <c r="D80" i="8"/>
  <c r="C80" i="8"/>
  <c r="L80" i="8"/>
  <c r="H80" i="8"/>
  <c r="C81" i="8"/>
  <c r="D81" i="8"/>
  <c r="H81" i="8"/>
  <c r="G81" i="8"/>
  <c r="K81" i="8"/>
  <c r="J81" i="8"/>
  <c r="M81" i="8"/>
  <c r="N81" i="8"/>
  <c r="F81" i="8"/>
  <c r="I81" i="8"/>
  <c r="L81" i="8"/>
  <c r="E81" i="8"/>
  <c r="B82" i="8" a="1"/>
  <c r="B82" i="8" s="1"/>
  <c r="H82" i="8" l="1"/>
  <c r="D82" i="8"/>
  <c r="B83" i="8" a="1"/>
  <c r="B83" i="8" s="1"/>
  <c r="J82" i="8"/>
  <c r="M82" i="8"/>
  <c r="L82" i="8"/>
  <c r="E82" i="8"/>
  <c r="F82" i="8"/>
  <c r="N82" i="8"/>
  <c r="I82" i="8"/>
  <c r="C82" i="8"/>
  <c r="G82" i="8"/>
  <c r="K82" i="8"/>
  <c r="N83" i="8" l="1"/>
  <c r="D83" i="8"/>
  <c r="I83" i="8"/>
  <c r="F83" i="8"/>
  <c r="C83" i="8"/>
  <c r="B84" i="8" a="1"/>
  <c r="B84" i="8" s="1"/>
  <c r="G83" i="8"/>
  <c r="H83" i="8"/>
  <c r="M83" i="8"/>
  <c r="K83" i="8"/>
  <c r="L83" i="8"/>
  <c r="J83" i="8"/>
  <c r="E83" i="8"/>
  <c r="M84" i="8" l="1"/>
  <c r="D84" i="8"/>
  <c r="F84" i="8"/>
  <c r="H84" i="8"/>
  <c r="K84" i="8"/>
  <c r="B85" i="8" a="1"/>
  <c r="B85" i="8" s="1"/>
  <c r="E84" i="8"/>
  <c r="J84" i="8"/>
  <c r="I84" i="8"/>
  <c r="C84" i="8"/>
  <c r="L84" i="8"/>
  <c r="G84" i="8"/>
  <c r="N84" i="8"/>
  <c r="L85" i="8" l="1"/>
  <c r="D85" i="8"/>
  <c r="N85" i="8"/>
  <c r="C85" i="8"/>
  <c r="M85" i="8"/>
  <c r="B86" i="8" a="1"/>
  <c r="B86" i="8" s="1"/>
  <c r="F85" i="8"/>
  <c r="H85" i="8"/>
  <c r="K85" i="8"/>
  <c r="E85" i="8"/>
  <c r="J85" i="8"/>
  <c r="G85" i="8"/>
  <c r="I85" i="8"/>
  <c r="K86" i="8" l="1"/>
  <c r="D86" i="8"/>
  <c r="M86" i="8"/>
  <c r="J86" i="8"/>
  <c r="B87" i="8" a="1"/>
  <c r="B87" i="8" s="1"/>
  <c r="I86" i="8"/>
  <c r="C86" i="8"/>
  <c r="G86" i="8"/>
  <c r="N86" i="8"/>
  <c r="H86" i="8"/>
  <c r="F86" i="8"/>
  <c r="L86" i="8"/>
  <c r="E86" i="8"/>
  <c r="F87" i="8" l="1"/>
  <c r="D87" i="8"/>
  <c r="B88" i="8" a="1"/>
  <c r="B88" i="8" s="1"/>
  <c r="N87" i="8"/>
  <c r="G87" i="8"/>
  <c r="I87" i="8"/>
  <c r="H87" i="8"/>
  <c r="M87" i="8"/>
  <c r="L87" i="8"/>
  <c r="K87" i="8"/>
  <c r="J87" i="8"/>
  <c r="C87" i="8"/>
  <c r="E87" i="8"/>
  <c r="L88" i="8" l="1"/>
  <c r="D88" i="8"/>
  <c r="E88" i="8"/>
  <c r="N88" i="8"/>
  <c r="M88" i="8"/>
  <c r="J88" i="8"/>
  <c r="B89" i="8" a="1"/>
  <c r="B89" i="8" s="1"/>
  <c r="K88" i="8"/>
  <c r="H88" i="8"/>
  <c r="G88" i="8"/>
  <c r="C88" i="8"/>
  <c r="I88" i="8"/>
  <c r="F88" i="8"/>
  <c r="F89" i="8" l="1"/>
  <c r="D89" i="8"/>
  <c r="G89" i="8"/>
  <c r="H89" i="8"/>
  <c r="L89" i="8"/>
  <c r="M89" i="8"/>
  <c r="E89" i="8"/>
  <c r="N89" i="8"/>
  <c r="K89" i="8"/>
  <c r="B90" i="8" a="1"/>
  <c r="B90" i="8" s="1"/>
  <c r="J89" i="8"/>
  <c r="I89" i="8"/>
  <c r="C89" i="8"/>
  <c r="C90" i="8" l="1"/>
  <c r="D90" i="8"/>
  <c r="E90" i="8"/>
  <c r="M90" i="8"/>
  <c r="B91" i="8" a="1"/>
  <c r="B91" i="8" s="1"/>
  <c r="J90" i="8"/>
  <c r="K90" i="8"/>
  <c r="N90" i="8"/>
  <c r="F90" i="8"/>
  <c r="H90" i="8"/>
  <c r="I90" i="8"/>
  <c r="L90" i="8"/>
  <c r="G90" i="8"/>
  <c r="C91" i="8" l="1"/>
  <c r="D91" i="8"/>
  <c r="I91" i="8"/>
  <c r="H91" i="8"/>
  <c r="N91" i="8"/>
  <c r="F91" i="8"/>
  <c r="M91" i="8"/>
  <c r="E91" i="8"/>
  <c r="K91" i="8"/>
  <c r="G91" i="8"/>
  <c r="J91" i="8"/>
  <c r="L91" i="8"/>
  <c r="B92" i="8" a="1"/>
  <c r="B92" i="8" s="1"/>
  <c r="L92" i="8" l="1"/>
  <c r="D92" i="8"/>
  <c r="I92" i="8"/>
  <c r="H92" i="8"/>
  <c r="G92" i="8"/>
  <c r="K92" i="8"/>
  <c r="C92" i="8"/>
  <c r="B93" i="8" a="1"/>
  <c r="B93" i="8" s="1"/>
  <c r="J92" i="8"/>
  <c r="N92" i="8"/>
  <c r="E92" i="8"/>
  <c r="F92" i="8"/>
  <c r="M92" i="8"/>
  <c r="N93" i="8" l="1"/>
  <c r="D93" i="8"/>
  <c r="M93" i="8"/>
  <c r="C93" i="8"/>
  <c r="B94" i="8" a="1"/>
  <c r="B94" i="8" s="1"/>
  <c r="E93" i="8"/>
  <c r="K93" i="8"/>
  <c r="H93" i="8"/>
  <c r="L93" i="8"/>
  <c r="J93" i="8"/>
  <c r="F93" i="8"/>
  <c r="I93" i="8"/>
  <c r="G93" i="8"/>
  <c r="M94" i="8" l="1"/>
  <c r="D94" i="8"/>
  <c r="N94" i="8"/>
  <c r="E94" i="8"/>
  <c r="F94" i="8"/>
  <c r="B95" i="8" a="1"/>
  <c r="B95" i="8" s="1"/>
  <c r="J94" i="8"/>
  <c r="K94" i="8"/>
  <c r="L94" i="8"/>
  <c r="I94" i="8"/>
  <c r="H94" i="8"/>
  <c r="C94" i="8"/>
  <c r="G94" i="8"/>
  <c r="M95" i="8" l="1"/>
  <c r="D95" i="8"/>
  <c r="H95" i="8"/>
  <c r="L95" i="8"/>
  <c r="B96" i="8" a="1"/>
  <c r="B96" i="8" s="1"/>
  <c r="J95" i="8"/>
  <c r="K95" i="8"/>
  <c r="F95" i="8"/>
  <c r="C95" i="8"/>
  <c r="I95" i="8"/>
  <c r="E95" i="8"/>
  <c r="G95" i="8"/>
  <c r="N95" i="8"/>
  <c r="G96" i="8" l="1"/>
  <c r="D96" i="8"/>
  <c r="K96" i="8"/>
  <c r="M96" i="8"/>
  <c r="H96" i="8"/>
  <c r="J96" i="8"/>
  <c r="E96" i="8"/>
  <c r="F96" i="8"/>
  <c r="L96" i="8"/>
  <c r="I96" i="8"/>
  <c r="B97" i="8" a="1"/>
  <c r="B97" i="8" s="1"/>
  <c r="N96" i="8"/>
  <c r="C96" i="8"/>
  <c r="H97" i="8" l="1"/>
  <c r="D97" i="8"/>
  <c r="B98" i="8" a="1"/>
  <c r="B98" i="8" s="1"/>
  <c r="I97" i="8"/>
  <c r="J97" i="8"/>
  <c r="C97" i="8"/>
  <c r="M97" i="8"/>
  <c r="E97" i="8"/>
  <c r="K97" i="8"/>
  <c r="F97" i="8"/>
  <c r="N97" i="8"/>
  <c r="L97" i="8"/>
  <c r="G97" i="8"/>
  <c r="F98" i="8" l="1"/>
  <c r="D98" i="8"/>
  <c r="C98" i="8"/>
  <c r="G98" i="8"/>
  <c r="J98" i="8"/>
  <c r="L98" i="8"/>
  <c r="B99" i="8" a="1"/>
  <c r="B99" i="8" s="1"/>
  <c r="N98" i="8"/>
  <c r="M98" i="8"/>
  <c r="K98" i="8"/>
  <c r="E98" i="8"/>
  <c r="I98" i="8"/>
  <c r="H98" i="8"/>
  <c r="H99" i="8" l="1"/>
  <c r="D99" i="8"/>
  <c r="N99" i="8"/>
  <c r="M99" i="8"/>
  <c r="G99" i="8"/>
  <c r="L99" i="8"/>
  <c r="I99" i="8"/>
  <c r="E99" i="8"/>
  <c r="B100" i="8" a="1"/>
  <c r="B100" i="8" s="1"/>
  <c r="C99" i="8"/>
  <c r="K99" i="8"/>
  <c r="F99" i="8"/>
  <c r="J99" i="8"/>
  <c r="J100" i="8" l="1"/>
  <c r="D100" i="8"/>
  <c r="I100" i="8"/>
  <c r="G100" i="8"/>
  <c r="K100" i="8"/>
  <c r="B101" i="8" a="1"/>
  <c r="B101" i="8" s="1"/>
  <c r="D101" i="8" s="1"/>
  <c r="N100" i="8"/>
  <c r="H100" i="8"/>
  <c r="C100" i="8"/>
  <c r="F100" i="8"/>
  <c r="E100" i="8"/>
  <c r="M100" i="8"/>
  <c r="L100" i="8"/>
  <c r="M101" i="8" l="1"/>
  <c r="G101" i="8"/>
  <c r="C101" i="8"/>
  <c r="L101" i="8"/>
  <c r="I101" i="8"/>
  <c r="H101" i="8"/>
  <c r="F101" i="8"/>
  <c r="B102" i="8" a="1"/>
  <c r="B102" i="8" s="1"/>
  <c r="J101" i="8"/>
  <c r="N101" i="8"/>
  <c r="K101" i="8"/>
  <c r="E101" i="8"/>
  <c r="G102" i="8" l="1"/>
  <c r="D102" i="8"/>
  <c r="B103" i="8" a="1"/>
  <c r="B103" i="8" s="1"/>
  <c r="L102" i="8"/>
  <c r="I102" i="8"/>
  <c r="K102" i="8"/>
  <c r="E102" i="8"/>
  <c r="C102" i="8"/>
  <c r="M102" i="8"/>
  <c r="F102" i="8"/>
  <c r="N102" i="8"/>
  <c r="H102" i="8"/>
  <c r="J102" i="8"/>
  <c r="J103" i="8" l="1"/>
  <c r="D103" i="8"/>
  <c r="H103" i="8"/>
  <c r="F103" i="8"/>
  <c r="G103" i="8"/>
  <c r="I103" i="8"/>
  <c r="N103" i="8"/>
  <c r="C103" i="8"/>
  <c r="E103" i="8"/>
  <c r="M103" i="8"/>
  <c r="K103" i="8"/>
  <c r="B104" i="8" a="1"/>
  <c r="B104" i="8" s="1"/>
  <c r="L103" i="8"/>
  <c r="M104" i="8" l="1"/>
  <c r="D104" i="8"/>
  <c r="H104" i="8"/>
  <c r="E104" i="8"/>
  <c r="B105" i="8" a="1"/>
  <c r="B105" i="8" s="1"/>
  <c r="J104" i="8"/>
  <c r="K104" i="8"/>
  <c r="N104" i="8"/>
  <c r="I104" i="8"/>
  <c r="G104" i="8"/>
  <c r="F104" i="8"/>
  <c r="C104" i="8"/>
  <c r="L104" i="8"/>
  <c r="K105" i="8" l="1"/>
  <c r="D105" i="8"/>
  <c r="G105" i="8"/>
  <c r="F105" i="8"/>
  <c r="L105" i="8"/>
  <c r="N105" i="8"/>
  <c r="E105" i="8"/>
  <c r="J105" i="8"/>
  <c r="I105" i="8"/>
  <c r="H105" i="8"/>
  <c r="C105" i="8"/>
  <c r="M105" i="8"/>
  <c r="B106" i="8" a="1"/>
  <c r="B106" i="8" s="1"/>
  <c r="H106" i="8" l="1"/>
  <c r="D106" i="8"/>
  <c r="M106" i="8"/>
  <c r="E106" i="8"/>
  <c r="K106" i="8"/>
  <c r="F106" i="8"/>
  <c r="J106" i="8"/>
  <c r="C106" i="8"/>
  <c r="N106" i="8"/>
  <c r="G106" i="8"/>
  <c r="B107" i="8" a="1"/>
  <c r="B107" i="8" s="1"/>
  <c r="L106" i="8"/>
  <c r="I106" i="8"/>
  <c r="C107" i="8" l="1"/>
  <c r="D107" i="8"/>
  <c r="B108" i="8" a="1"/>
  <c r="B108" i="8" s="1"/>
  <c r="L107" i="8"/>
  <c r="J107" i="8"/>
  <c r="G107" i="8"/>
  <c r="F107" i="8"/>
  <c r="H107" i="8"/>
  <c r="N107" i="8"/>
  <c r="E107" i="8"/>
  <c r="M107" i="8"/>
  <c r="I107" i="8"/>
  <c r="K107" i="8"/>
  <c r="H108" i="8" l="1"/>
  <c r="D108" i="8"/>
  <c r="I108" i="8"/>
  <c r="M108" i="8"/>
  <c r="B109" i="8" a="1"/>
  <c r="B109" i="8" s="1"/>
  <c r="K108" i="8"/>
  <c r="N108" i="8"/>
  <c r="E108" i="8"/>
  <c r="F108" i="8"/>
  <c r="J108" i="8"/>
  <c r="L108" i="8"/>
  <c r="G108" i="8"/>
  <c r="C108" i="8"/>
  <c r="C109" i="8" l="1"/>
  <c r="D109" i="8"/>
  <c r="B110" i="8" a="1"/>
  <c r="B110" i="8" s="1"/>
  <c r="K109" i="8"/>
  <c r="L109" i="8"/>
  <c r="I109" i="8"/>
  <c r="E109" i="8"/>
  <c r="J109" i="8"/>
  <c r="G109" i="8"/>
  <c r="N109" i="8"/>
  <c r="M109" i="8"/>
  <c r="F109" i="8"/>
  <c r="H109" i="8"/>
  <c r="F110" i="8" l="1"/>
  <c r="D110" i="8"/>
  <c r="M110" i="8"/>
  <c r="I110" i="8"/>
  <c r="L110" i="8"/>
  <c r="N110" i="8"/>
  <c r="C110" i="8"/>
  <c r="G110" i="8"/>
  <c r="H110" i="8"/>
  <c r="K110" i="8"/>
  <c r="J110" i="8"/>
  <c r="E110" i="8"/>
  <c r="B111" i="8" a="1"/>
  <c r="B111" i="8" s="1"/>
  <c r="H111" i="8" l="1"/>
  <c r="D111" i="8"/>
  <c r="I111" i="8"/>
  <c r="F111" i="8"/>
  <c r="B112" i="8" a="1"/>
  <c r="B112" i="8" s="1"/>
  <c r="C111" i="8"/>
  <c r="E111" i="8"/>
  <c r="K111" i="8"/>
  <c r="N111" i="8"/>
  <c r="M111" i="8"/>
  <c r="J111" i="8"/>
  <c r="G111" i="8"/>
  <c r="L111" i="8"/>
  <c r="G112" i="8" l="1"/>
  <c r="D112" i="8"/>
  <c r="B113" i="8" a="1"/>
  <c r="B113" i="8" s="1"/>
  <c r="N112" i="8"/>
  <c r="F112" i="8"/>
  <c r="K112" i="8"/>
  <c r="L112" i="8"/>
  <c r="I112" i="8"/>
  <c r="H112" i="8"/>
  <c r="C112" i="8"/>
  <c r="M112" i="8"/>
  <c r="E112" i="8"/>
  <c r="J112" i="8"/>
  <c r="G113" i="8" l="1"/>
  <c r="D113" i="8"/>
  <c r="B114" i="8" a="1"/>
  <c r="B114" i="8" s="1"/>
  <c r="J113" i="8"/>
  <c r="N113" i="8"/>
  <c r="K113" i="8"/>
  <c r="L113" i="8"/>
  <c r="H113" i="8"/>
  <c r="M113" i="8"/>
  <c r="C113" i="8"/>
  <c r="E113" i="8"/>
  <c r="I113" i="8"/>
  <c r="F113" i="8"/>
  <c r="K114" i="8" l="1"/>
  <c r="D114" i="8"/>
  <c r="B115" i="8" a="1"/>
  <c r="B115" i="8" s="1"/>
  <c r="C114" i="8"/>
  <c r="H114" i="8"/>
  <c r="E114" i="8"/>
  <c r="F114" i="8"/>
  <c r="N114" i="8"/>
  <c r="L114" i="8"/>
  <c r="G114" i="8"/>
  <c r="J114" i="8"/>
  <c r="M114" i="8"/>
  <c r="I114" i="8"/>
  <c r="I115" i="8" l="1"/>
  <c r="D115" i="8"/>
  <c r="J115" i="8"/>
  <c r="B116" i="8" a="1"/>
  <c r="B116" i="8" s="1"/>
  <c r="D116" i="8" s="1"/>
  <c r="E115" i="8"/>
  <c r="N115" i="8"/>
  <c r="H115" i="8"/>
  <c r="C115" i="8"/>
  <c r="F115" i="8"/>
  <c r="L115" i="8"/>
  <c r="M115" i="8"/>
  <c r="K115" i="8"/>
  <c r="G115" i="8"/>
  <c r="B117" i="8" l="1" a="1"/>
  <c r="B117" i="8" s="1"/>
  <c r="H116" i="8"/>
  <c r="N116" i="8"/>
  <c r="L116" i="8"/>
  <c r="I116" i="8"/>
  <c r="F116" i="8"/>
  <c r="K116" i="8"/>
  <c r="C116" i="8"/>
  <c r="E116" i="8"/>
  <c r="G116" i="8"/>
  <c r="M116" i="8"/>
  <c r="J116" i="8"/>
  <c r="H117" i="8" l="1"/>
  <c r="D117" i="8"/>
  <c r="E117" i="8"/>
  <c r="M117" i="8"/>
  <c r="B118" i="8" a="1"/>
  <c r="B118" i="8" s="1"/>
  <c r="J117" i="8"/>
  <c r="K117" i="8"/>
  <c r="F117" i="8"/>
  <c r="L117" i="8"/>
  <c r="G117" i="8"/>
  <c r="N117" i="8"/>
  <c r="I117" i="8"/>
  <c r="C117" i="8"/>
  <c r="M118" i="8" l="1"/>
  <c r="D118" i="8"/>
  <c r="K118" i="8"/>
  <c r="N118" i="8"/>
  <c r="L118" i="8"/>
  <c r="C118" i="8"/>
  <c r="H118" i="8"/>
  <c r="B119" i="8" a="1"/>
  <c r="B119" i="8" s="1"/>
  <c r="D119" i="8" s="1"/>
  <c r="I118" i="8"/>
  <c r="J118" i="8"/>
  <c r="F118" i="8"/>
  <c r="G118" i="8"/>
  <c r="E118" i="8"/>
  <c r="M119" i="8" l="1"/>
  <c r="B120" i="8" a="1"/>
  <c r="B120" i="8" s="1"/>
  <c r="D120" i="8" s="1"/>
  <c r="F119" i="8"/>
  <c r="K119" i="8"/>
  <c r="J119" i="8"/>
  <c r="L119" i="8"/>
  <c r="L37" i="8" s="1" a="1"/>
  <c r="L37" i="8" s="1"/>
  <c r="H119" i="8"/>
  <c r="N119" i="8"/>
  <c r="I119" i="8"/>
  <c r="C119" i="8"/>
  <c r="D37" i="8" a="1"/>
  <c r="D37" i="8" s="1"/>
  <c r="G119" i="8"/>
  <c r="E119" i="8"/>
  <c r="E37" i="8" l="1" a="1"/>
  <c r="E37" i="8" s="1"/>
  <c r="G37" i="8" a="1"/>
  <c r="G37" i="8" s="1"/>
  <c r="N37" i="8" a="1"/>
  <c r="N37" i="8" s="1"/>
  <c r="H37" i="8" a="1"/>
  <c r="H37" i="8" s="1"/>
  <c r="J37" i="8" a="1"/>
  <c r="J37" i="8" s="1"/>
  <c r="K37" i="8" a="1"/>
  <c r="K37" i="8" s="1"/>
  <c r="F37" i="8" a="1"/>
  <c r="F37" i="8" s="1"/>
  <c r="M37" i="8" a="1"/>
  <c r="M37" i="8" s="1"/>
  <c r="I37" i="8" a="1"/>
  <c r="I37" i="8" s="1"/>
  <c r="C37" i="8" a="1"/>
  <c r="C37" i="8" s="1"/>
  <c r="E120" i="8"/>
  <c r="M120" i="8"/>
  <c r="F120" i="8"/>
  <c r="I120" i="8"/>
  <c r="J120" i="8"/>
  <c r="N120" i="8"/>
  <c r="G120" i="8"/>
  <c r="L120" i="8"/>
  <c r="C120" i="8"/>
  <c r="K120" i="8"/>
  <c r="H120" i="8"/>
  <c r="B121" i="8" a="1"/>
  <c r="B121" i="8" s="1"/>
  <c r="D121" i="8" s="1"/>
  <c r="I121" i="8" l="1"/>
  <c r="L121" i="8"/>
  <c r="J121" i="8"/>
  <c r="E121" i="8"/>
  <c r="C121" i="8"/>
  <c r="M121" i="8"/>
  <c r="K121" i="8"/>
  <c r="F121" i="8"/>
  <c r="N121" i="8"/>
  <c r="G121" i="8"/>
  <c r="H121" i="8"/>
  <c r="B122" i="8" a="1"/>
  <c r="B122" i="8" s="1"/>
  <c r="D122" i="8" s="1"/>
  <c r="F122" i="8" l="1"/>
  <c r="K122" i="8"/>
  <c r="N122" i="8"/>
  <c r="L122" i="8"/>
  <c r="G122" i="8"/>
  <c r="E122" i="8"/>
  <c r="H122" i="8"/>
  <c r="M122" i="8"/>
  <c r="I122" i="8"/>
  <c r="J122" i="8"/>
  <c r="C122" i="8"/>
  <c r="B123" i="8" a="1"/>
  <c r="B123" i="8" s="1"/>
  <c r="D123" i="8" s="1"/>
  <c r="J123" i="8" l="1"/>
  <c r="N123" i="8"/>
  <c r="C123" i="8"/>
  <c r="G123" i="8"/>
  <c r="K123" i="8"/>
  <c r="I123" i="8"/>
  <c r="F123" i="8"/>
  <c r="L123" i="8"/>
  <c r="E123" i="8"/>
  <c r="H123" i="8"/>
  <c r="M123" i="8"/>
  <c r="B124" i="8" a="1"/>
  <c r="B124" i="8" s="1"/>
  <c r="D124" i="8" s="1"/>
  <c r="J124" i="8" l="1"/>
  <c r="N124" i="8"/>
  <c r="C124" i="8"/>
  <c r="G124" i="8"/>
  <c r="K124" i="8"/>
  <c r="H124" i="8"/>
  <c r="I124" i="8"/>
  <c r="L124" i="8"/>
  <c r="E124" i="8"/>
  <c r="M124" i="8"/>
  <c r="F124" i="8"/>
  <c r="B125" i="8" a="1"/>
  <c r="B125" i="8" s="1"/>
  <c r="D125" i="8" s="1"/>
  <c r="F125" i="8" l="1"/>
  <c r="N125" i="8"/>
  <c r="I125" i="8"/>
  <c r="G125" i="8"/>
  <c r="M125" i="8"/>
  <c r="H125" i="8"/>
  <c r="L125" i="8"/>
  <c r="J125" i="8"/>
  <c r="K125" i="8"/>
  <c r="E125" i="8"/>
  <c r="C125" i="8"/>
  <c r="B126" i="8" a="1"/>
  <c r="B126" i="8" s="1"/>
  <c r="D126" i="8" s="1"/>
  <c r="F126" i="8" l="1"/>
  <c r="N126" i="8"/>
  <c r="L126" i="8"/>
  <c r="I126" i="8"/>
  <c r="G126" i="8"/>
  <c r="E126" i="8"/>
  <c r="H126" i="8"/>
  <c r="M126" i="8"/>
  <c r="J126" i="8"/>
  <c r="K126" i="8"/>
  <c r="C126" i="8"/>
  <c r="B127" i="8" a="1"/>
  <c r="B127" i="8" s="1"/>
  <c r="D127" i="8" s="1"/>
  <c r="J127" i="8" l="1"/>
  <c r="N127" i="8"/>
  <c r="C127" i="8"/>
  <c r="G127" i="8"/>
  <c r="K127" i="8"/>
  <c r="L127" i="8"/>
  <c r="E127" i="8"/>
  <c r="H127" i="8"/>
  <c r="M127" i="8"/>
  <c r="I127" i="8"/>
  <c r="F127" i="8"/>
  <c r="B128" i="8" a="1"/>
  <c r="B128" i="8" s="1"/>
  <c r="D128" i="8" s="1"/>
  <c r="I128" i="8" l="1"/>
  <c r="F128" i="8"/>
  <c r="M128" i="8"/>
  <c r="J128" i="8"/>
  <c r="N128" i="8"/>
  <c r="L128" i="8"/>
  <c r="C128" i="8"/>
  <c r="G128" i="8"/>
  <c r="K128" i="8"/>
  <c r="H128" i="8"/>
  <c r="E128" i="8"/>
  <c r="B129" i="8" a="1"/>
  <c r="B129" i="8" s="1"/>
  <c r="D129" i="8" s="1"/>
  <c r="E129" i="8" l="1"/>
  <c r="M129" i="8"/>
  <c r="F129" i="8"/>
  <c r="C129" i="8"/>
  <c r="G129" i="8"/>
  <c r="K129" i="8"/>
  <c r="H129" i="8"/>
  <c r="I129" i="8"/>
  <c r="L129" i="8"/>
  <c r="J129" i="8"/>
  <c r="N129" i="8"/>
  <c r="B130" i="8" a="1"/>
  <c r="B130" i="8" s="1"/>
  <c r="D130" i="8" s="1"/>
  <c r="E130" i="8" l="1"/>
  <c r="C130" i="8"/>
  <c r="H130" i="8"/>
  <c r="I130" i="8"/>
  <c r="J130" i="8"/>
  <c r="M130" i="8"/>
  <c r="K130" i="8"/>
  <c r="N130" i="8"/>
  <c r="L130" i="8"/>
  <c r="G130" i="8"/>
  <c r="F130" i="8"/>
  <c r="B131" i="8" a="1"/>
  <c r="B131" i="8" s="1"/>
  <c r="D131" i="8" s="1"/>
  <c r="E131" i="8" l="1"/>
  <c r="H131" i="8"/>
  <c r="M131" i="8"/>
  <c r="I131" i="8"/>
  <c r="F131" i="8"/>
  <c r="G131" i="8"/>
  <c r="J131" i="8"/>
  <c r="N131" i="8"/>
  <c r="L131" i="8"/>
  <c r="C131" i="8"/>
  <c r="K131" i="8"/>
  <c r="B132" i="8" a="1"/>
  <c r="B132" i="8" s="1"/>
  <c r="D132" i="8" s="1"/>
  <c r="K132" i="8" l="1"/>
  <c r="G132" i="8"/>
  <c r="E132" i="8"/>
  <c r="M132" i="8"/>
  <c r="I132" i="8"/>
  <c r="J132" i="8"/>
  <c r="F132" i="8"/>
  <c r="H132" i="8"/>
  <c r="L132" i="8"/>
  <c r="C132" i="8"/>
  <c r="N132" i="8"/>
  <c r="B133" i="8" a="1"/>
  <c r="B133" i="8" s="1"/>
  <c r="D133" i="8" s="1"/>
  <c r="F133" i="8" l="1"/>
  <c r="N133" i="8"/>
  <c r="G133" i="8"/>
  <c r="C133" i="8"/>
  <c r="L133" i="8"/>
  <c r="K133" i="8"/>
  <c r="E133" i="8"/>
  <c r="H133" i="8"/>
  <c r="M133" i="8"/>
  <c r="J133" i="8"/>
  <c r="I133" i="8"/>
  <c r="B134" i="8" a="1"/>
  <c r="B134" i="8" s="1"/>
  <c r="D134" i="8" s="1"/>
  <c r="K134" i="8" l="1"/>
  <c r="H134" i="8"/>
  <c r="E134" i="8"/>
  <c r="F134" i="8"/>
  <c r="M134" i="8"/>
  <c r="N134" i="8"/>
  <c r="J134" i="8"/>
  <c r="G134" i="8"/>
  <c r="I134" i="8"/>
  <c r="L134" i="8"/>
  <c r="C134" i="8"/>
  <c r="B135" i="8" a="1"/>
  <c r="B135" i="8" s="1"/>
  <c r="D135" i="8" s="1"/>
  <c r="H135" i="8" l="1"/>
  <c r="I135" i="8"/>
  <c r="L135" i="8"/>
  <c r="C135" i="8"/>
  <c r="F135" i="8"/>
  <c r="M135" i="8"/>
  <c r="J135" i="8"/>
  <c r="K135" i="8"/>
  <c r="N135" i="8"/>
  <c r="E135" i="8"/>
  <c r="G135" i="8"/>
  <c r="B136" i="8" a="1"/>
  <c r="B136" i="8" s="1"/>
  <c r="D136" i="8" s="1"/>
  <c r="K136" i="8" l="1"/>
  <c r="I136" i="8"/>
  <c r="E136" i="8"/>
  <c r="H136" i="8"/>
  <c r="M136" i="8"/>
  <c r="G136" i="8"/>
  <c r="L136" i="8"/>
  <c r="J136" i="8"/>
  <c r="F136" i="8"/>
  <c r="C136" i="8"/>
  <c r="N136" i="8"/>
  <c r="B137" i="8" a="1"/>
  <c r="B137" i="8" s="1"/>
  <c r="D137" i="8" s="1"/>
  <c r="B138" i="8" l="1" a="1"/>
  <c r="B138" i="8" s="1"/>
  <c r="D138" i="8" s="1"/>
  <c r="H137" i="8"/>
  <c r="L137" i="8"/>
  <c r="C137" i="8"/>
  <c r="E137" i="8"/>
  <c r="K137" i="8"/>
  <c r="M137" i="8"/>
  <c r="J137" i="8"/>
  <c r="G137" i="8"/>
  <c r="F137" i="8"/>
  <c r="N137" i="8"/>
  <c r="I137" i="8"/>
  <c r="U39" i="8" l="1"/>
  <c r="U42" i="8"/>
  <c r="U40" i="8"/>
  <c r="U43" i="8"/>
  <c r="U41" i="8"/>
  <c r="L138" i="8"/>
  <c r="H138" i="8"/>
  <c r="E138" i="8"/>
  <c r="J138" i="8"/>
  <c r="M138" i="8"/>
  <c r="C138" i="8"/>
  <c r="G138" i="8"/>
  <c r="F138" i="8"/>
  <c r="I138" i="8"/>
  <c r="N138" i="8"/>
  <c r="K138" i="8"/>
  <c r="AP41" i="8" l="1"/>
  <c r="AP39" i="8"/>
  <c r="AP40" i="8"/>
  <c r="AP42" i="8"/>
  <c r="AP43" i="8"/>
  <c r="T42" i="8"/>
  <c r="T41" i="8"/>
  <c r="T43" i="8"/>
  <c r="T40" i="8"/>
  <c r="T39" i="8"/>
  <c r="E36" i="8"/>
  <c r="E35" i="8" s="1"/>
  <c r="X39" i="8"/>
  <c r="X41" i="8"/>
  <c r="X42" i="8"/>
  <c r="X40" i="8"/>
  <c r="X43" i="8"/>
  <c r="AM39" i="8"/>
  <c r="AM43" i="8"/>
  <c r="AM42" i="8"/>
  <c r="AM41" i="8"/>
  <c r="AM40" i="8"/>
  <c r="AY41" i="8"/>
  <c r="AY43" i="8"/>
  <c r="AY40" i="8"/>
  <c r="AY39" i="8"/>
  <c r="AY42" i="8"/>
  <c r="AG41" i="8"/>
  <c r="AG43" i="8"/>
  <c r="AG42" i="8"/>
  <c r="AG39" i="8"/>
  <c r="AG40" i="8"/>
  <c r="AD40" i="8"/>
  <c r="AD39" i="8"/>
  <c r="AD43" i="8"/>
  <c r="AD42" i="8"/>
  <c r="AD41" i="8"/>
  <c r="AJ43" i="8"/>
  <c r="AJ40" i="8"/>
  <c r="AJ39" i="8"/>
  <c r="AJ41" i="8"/>
  <c r="AJ42" i="8"/>
  <c r="AS42" i="8"/>
  <c r="AS40" i="8"/>
  <c r="AS43" i="8"/>
  <c r="AS39" i="8"/>
  <c r="AS41" i="8"/>
  <c r="AA39" i="8"/>
  <c r="AA41" i="8"/>
  <c r="AA42" i="8"/>
  <c r="AA40" i="8"/>
  <c r="AA43" i="8"/>
  <c r="C36" i="8"/>
  <c r="C35" i="8" s="1"/>
  <c r="R39" i="8"/>
  <c r="R40" i="8"/>
  <c r="R43" i="8"/>
  <c r="R41" i="8"/>
  <c r="R42" i="8"/>
  <c r="AV42" i="8"/>
  <c r="AV40" i="8"/>
  <c r="AV41" i="8"/>
  <c r="AV39" i="8"/>
  <c r="AV43" i="8"/>
  <c r="T46" i="8"/>
  <c r="T47" i="8" s="1"/>
  <c r="D36" i="8"/>
  <c r="D35" i="8" s="1"/>
  <c r="N36" i="8"/>
  <c r="N35" i="8" s="1"/>
  <c r="G36" i="8"/>
  <c r="G35" i="8" s="1"/>
  <c r="F36" i="8"/>
  <c r="F35" i="8" s="1"/>
  <c r="I36" i="8"/>
  <c r="I35" i="8" s="1"/>
  <c r="H36" i="8"/>
  <c r="H35" i="8" s="1"/>
  <c r="K36" i="8"/>
  <c r="K35" i="8" s="1"/>
  <c r="J36" i="8"/>
  <c r="J35" i="8" s="1"/>
  <c r="M36" i="8"/>
  <c r="M35" i="8" s="1"/>
  <c r="L36" i="8"/>
  <c r="L35" i="8" s="1"/>
  <c r="V43" i="8" l="1"/>
  <c r="S29" i="8"/>
  <c r="S28" i="8"/>
  <c r="AB39" i="8"/>
  <c r="Z39" i="8"/>
  <c r="AK40" i="8"/>
  <c r="AI40" i="8"/>
  <c r="AH42" i="8"/>
  <c r="AF42" i="8"/>
  <c r="AW41" i="8"/>
  <c r="AU41" i="8"/>
  <c r="AE41" i="8"/>
  <c r="AC41" i="8"/>
  <c r="Y39" i="8"/>
  <c r="W39" i="8"/>
  <c r="AQ41" i="8"/>
  <c r="U4" i="8" s="1"/>
  <c r="T4" i="8"/>
  <c r="AW40" i="8"/>
  <c r="AU40" i="8"/>
  <c r="AB43" i="8"/>
  <c r="Z43" i="8"/>
  <c r="AT40" i="8"/>
  <c r="AR40" i="8"/>
  <c r="AE42" i="8"/>
  <c r="AC42" i="8"/>
  <c r="AH41" i="8"/>
  <c r="AF41" i="8"/>
  <c r="AN42" i="8"/>
  <c r="AL42" i="8"/>
  <c r="V41" i="8"/>
  <c r="S41" i="8"/>
  <c r="Q41" i="8"/>
  <c r="AH39" i="8"/>
  <c r="AF39" i="8"/>
  <c r="AK43" i="8"/>
  <c r="AI43" i="8"/>
  <c r="AT43" i="8"/>
  <c r="AR43" i="8"/>
  <c r="AN41" i="8"/>
  <c r="AL41" i="8"/>
  <c r="AW42" i="8"/>
  <c r="AU42" i="8"/>
  <c r="AB40" i="8"/>
  <c r="Z40" i="8"/>
  <c r="AT42" i="8"/>
  <c r="AR42" i="8"/>
  <c r="AE43" i="8"/>
  <c r="AC43" i="8"/>
  <c r="AZ42" i="8"/>
  <c r="AX42" i="8"/>
  <c r="AN43" i="8"/>
  <c r="AL43" i="8"/>
  <c r="AB42" i="8"/>
  <c r="Z42" i="8"/>
  <c r="AK42" i="8"/>
  <c r="AI42" i="8"/>
  <c r="AE39" i="8"/>
  <c r="AC39" i="8"/>
  <c r="AZ39" i="8"/>
  <c r="AX39" i="8"/>
  <c r="AN39" i="8"/>
  <c r="AL39" i="8"/>
  <c r="V39" i="8"/>
  <c r="V42" i="8"/>
  <c r="AK41" i="8"/>
  <c r="AI41" i="8"/>
  <c r="AE40" i="8"/>
  <c r="AC40" i="8"/>
  <c r="AZ40" i="8"/>
  <c r="AX40" i="8"/>
  <c r="Y43" i="8"/>
  <c r="W43" i="8"/>
  <c r="AQ43" i="8"/>
  <c r="U6" i="8" s="1"/>
  <c r="T6" i="8"/>
  <c r="S43" i="8"/>
  <c r="Q43" i="8"/>
  <c r="AK39" i="8"/>
  <c r="AI39" i="8"/>
  <c r="AH40" i="8"/>
  <c r="AF40" i="8"/>
  <c r="AZ43" i="8"/>
  <c r="AX43" i="8"/>
  <c r="Y40" i="8"/>
  <c r="W40" i="8"/>
  <c r="V40" i="8"/>
  <c r="AQ42" i="8"/>
  <c r="U5" i="8" s="1"/>
  <c r="T5" i="8"/>
  <c r="AB41" i="8"/>
  <c r="Z41" i="8"/>
  <c r="S40" i="8"/>
  <c r="Q40" i="8"/>
  <c r="AZ41" i="8"/>
  <c r="AX41" i="8"/>
  <c r="Y42" i="8"/>
  <c r="W42" i="8"/>
  <c r="AQ40" i="8"/>
  <c r="U3" i="8" s="1"/>
  <c r="T3" i="8"/>
  <c r="S42" i="8"/>
  <c r="Q42" i="8"/>
  <c r="AW43" i="8"/>
  <c r="AU43" i="8"/>
  <c r="AW39" i="8"/>
  <c r="AU39" i="8"/>
  <c r="AT39" i="8"/>
  <c r="AR39" i="8"/>
  <c r="AN40" i="8"/>
  <c r="AL40" i="8"/>
  <c r="Y41" i="8"/>
  <c r="W41" i="8"/>
  <c r="AQ39" i="8"/>
  <c r="U2" i="8" s="1"/>
  <c r="T2" i="8"/>
  <c r="AT41" i="8"/>
  <c r="AR41" i="8"/>
  <c r="S39" i="8"/>
  <c r="Q39" i="8"/>
  <c r="AH43" i="8"/>
  <c r="AF43" i="8"/>
  <c r="AD46" i="8"/>
  <c r="AD47" i="8" s="1"/>
  <c r="V46" i="8"/>
  <c r="V47" i="8" s="1"/>
  <c r="AL46" i="8"/>
  <c r="AL47" i="8" s="1"/>
  <c r="R46" i="8"/>
  <c r="R47" i="8" s="1"/>
  <c r="AJ46" i="8"/>
  <c r="AJ47" i="8" s="1"/>
  <c r="AB46" i="8"/>
  <c r="AB47" i="8" s="1"/>
  <c r="Z46" i="8"/>
  <c r="Z47" i="8" s="1"/>
  <c r="AN46" i="8"/>
  <c r="AN47" i="8" s="1"/>
  <c r="AF46" i="8"/>
  <c r="AF47" i="8" s="1"/>
  <c r="X46" i="8"/>
  <c r="X47" i="8" s="1"/>
  <c r="AO40" i="8"/>
  <c r="S3" i="8" s="1"/>
  <c r="AO43" i="8"/>
  <c r="S6" i="8" s="1"/>
  <c r="AO42" i="8"/>
  <c r="S5" i="8" s="1"/>
  <c r="AO41" i="8"/>
  <c r="S4" i="8" s="1"/>
  <c r="AO39" i="8"/>
  <c r="S2" i="8" s="1"/>
  <c r="AH46" i="8"/>
  <c r="AH47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<sst xmlns="http://schemas.openxmlformats.org/spreadsheetml/2006/main" count="122" uniqueCount="82">
  <si>
    <t>Analyst Name</t>
  </si>
  <si>
    <t>Moth WL</t>
  </si>
  <si>
    <t>Number of Accounts</t>
  </si>
  <si>
    <t>Non Utilized</t>
  </si>
  <si>
    <t>Non Utilized %</t>
  </si>
  <si>
    <t>Year to Date WL</t>
  </si>
  <si>
    <t>Month</t>
  </si>
  <si>
    <t>sorting control</t>
  </si>
  <si>
    <t>Employee</t>
  </si>
  <si>
    <t>WL</t>
  </si>
  <si>
    <t>% of Total WL</t>
  </si>
  <si>
    <t>Dina</t>
  </si>
  <si>
    <t>Gamal</t>
  </si>
  <si>
    <t>Barbary</t>
  </si>
  <si>
    <t>Ghallab</t>
  </si>
  <si>
    <t>Ameen</t>
  </si>
  <si>
    <t>Komy</t>
  </si>
  <si>
    <t>total WL hours</t>
  </si>
  <si>
    <t>Farouk</t>
  </si>
  <si>
    <t>Number of accounts</t>
  </si>
  <si>
    <t>Sorting</t>
  </si>
  <si>
    <t>YTD WL</t>
  </si>
  <si>
    <t xml:space="preserve">WL </t>
  </si>
  <si>
    <t>Up to date WL</t>
  </si>
  <si>
    <t>Total WL</t>
  </si>
  <si>
    <t xml:space="preserve">Top 5 WL </t>
  </si>
  <si>
    <t>Customer</t>
  </si>
  <si>
    <t>Jan-21</t>
  </si>
  <si>
    <t>Feb-21</t>
  </si>
  <si>
    <t>Mar-21</t>
  </si>
  <si>
    <t>Apr-21</t>
  </si>
  <si>
    <t>May-21</t>
  </si>
  <si>
    <t>Jun-21</t>
  </si>
  <si>
    <t>Jul-21</t>
  </si>
  <si>
    <t>Aug-21</t>
  </si>
  <si>
    <t>Sep-21</t>
  </si>
  <si>
    <t>Oct-21</t>
  </si>
  <si>
    <t>Nov-21</t>
  </si>
  <si>
    <t>Dec-21</t>
  </si>
  <si>
    <t>Top 5</t>
  </si>
  <si>
    <t>Chart</t>
  </si>
  <si>
    <t>Country</t>
  </si>
  <si>
    <t xml:space="preserve">Report Name </t>
  </si>
  <si>
    <t>Type</t>
  </si>
  <si>
    <t>BAU/One Off</t>
  </si>
  <si>
    <t>Month2</t>
  </si>
  <si>
    <t>Request ID</t>
  </si>
  <si>
    <t>BAU_One Off</t>
  </si>
  <si>
    <t>Requested by</t>
  </si>
  <si>
    <t>Last update</t>
  </si>
  <si>
    <t>All Updates</t>
  </si>
  <si>
    <t>Status</t>
  </si>
  <si>
    <t xml:space="preserve">Received Date </t>
  </si>
  <si>
    <t>Resolved Date</t>
  </si>
  <si>
    <t>Last Modification Time</t>
  </si>
  <si>
    <t>Last Modification By</t>
  </si>
  <si>
    <t>komy</t>
  </si>
  <si>
    <t>Time</t>
  </si>
  <si>
    <t>Login Name</t>
  </si>
  <si>
    <t>User Name</t>
  </si>
  <si>
    <t>Passcode</t>
  </si>
  <si>
    <t>Allow sheet</t>
  </si>
  <si>
    <t>Current user</t>
  </si>
  <si>
    <t>Sheet Names</t>
  </si>
  <si>
    <t>UserName</t>
  </si>
  <si>
    <t>Admin</t>
  </si>
  <si>
    <t>Dashboard</t>
  </si>
  <si>
    <t>Dashboard (2)</t>
  </si>
  <si>
    <t>caluculation</t>
  </si>
  <si>
    <t>WL Records</t>
  </si>
  <si>
    <t>Updates_Database</t>
  </si>
  <si>
    <t>SearchData</t>
  </si>
  <si>
    <t>Login</t>
  </si>
  <si>
    <t>Interface</t>
  </si>
  <si>
    <t>guest</t>
  </si>
  <si>
    <t>Agent1</t>
  </si>
  <si>
    <t>Agent2</t>
  </si>
  <si>
    <t>Agent3</t>
  </si>
  <si>
    <t>Agent4</t>
  </si>
  <si>
    <t>Agent5</t>
  </si>
  <si>
    <t>Agent6</t>
  </si>
  <si>
    <t>Agent7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</si>
</sst>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mm\-yy;@"/>
    <numFmt numFmtId="165" formatCode="0.0000"/>
    <numFmt numFmtId="166" formatCode="[$-409]m/d/yy\ h:mm\ AM/PM;@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Vodafone Lt"/>
      <family val="2"/>
    </font>
    <font>
      <sz val="9"/>
      <name val="Vodafone Lt"/>
      <family val="2"/>
    </font>
    <font>
      <sz val="11"/>
      <name val="Calibri"/>
      <family val="2"/>
      <scheme val="minor"/>
    </font>
    <font>
      <sz val="11"/>
      <color rgb="FF000000"/>
      <name val="Vodafone Rg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Vodafone Lt"/>
      <family val="2"/>
    </font>
  </fonts>
  <fills count="10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rgb="FF000000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theme="4" tint="0.3999755851924192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4">
    <xf numFmtId="0" fontId="0" fillId="0" borderId="0"/>
    <xf numFmtId="0" fontId="9" fillId="0" borderId="0"/>
    <xf numFmtId="9" fontId="9" fillId="0" borderId="0" applyFont="0" applyFill="0" applyBorder="0" applyAlignment="0" applyProtection="0"/>
    <xf numFmtId="0" fontId="13" fillId="0" borderId="0"/>
  </cellStyleXfs>
  <cellXfs count="115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164" fontId="0" fillId="0" borderId="5" xfId="0" applyNumberFormat="1" applyBorder="1" applyAlignment="1">
      <alignment horizontal="center" vertical="center"/>
    </xf>
    <xf numFmtId="164" fontId="0" fillId="0" borderId="0" xfId="0" applyNumberFormat="1"/>
    <xf numFmtId="164" fontId="0" fillId="4" borderId="1" xfId="0" applyNumberFormat="1" applyFill="1" applyBorder="1" applyAlignment="1">
      <alignment horizontal="center" vertical="center"/>
    </xf>
    <xf numFmtId="164" fontId="7" fillId="2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0" fillId="0" borderId="21" xfId="0" applyBorder="1"/>
    <xf numFmtId="0" fontId="0" fillId="0" borderId="26" xfId="0" applyBorder="1"/>
    <xf numFmtId="0" fontId="0" fillId="0" borderId="28" xfId="0" applyBorder="1" applyAlignment="1">
      <alignment horizontal="center" vertical="center"/>
    </xf>
    <xf numFmtId="9" fontId="0" fillId="0" borderId="0" xfId="2" applyFont="1"/>
    <xf numFmtId="0" fontId="7" fillId="2" borderId="29" xfId="0" applyFont="1" applyFill="1" applyBorder="1" applyAlignment="1">
      <alignment horizontal="center"/>
    </xf>
    <xf numFmtId="0" fontId="7" fillId="2" borderId="30" xfId="0" applyFont="1" applyFill="1" applyBorder="1" applyAlignment="1">
      <alignment horizontal="center"/>
    </xf>
    <xf numFmtId="0" fontId="0" fillId="0" borderId="20" xfId="0" applyBorder="1"/>
    <xf numFmtId="9" fontId="0" fillId="0" borderId="22" xfId="2" applyFont="1" applyBorder="1"/>
    <xf numFmtId="0" fontId="0" fillId="0" borderId="23" xfId="0" applyBorder="1"/>
    <xf numFmtId="9" fontId="0" fillId="0" borderId="24" xfId="2" applyFont="1" applyBorder="1"/>
    <xf numFmtId="0" fontId="0" fillId="0" borderId="25" xfId="0" applyBorder="1"/>
    <xf numFmtId="9" fontId="0" fillId="0" borderId="27" xfId="2" applyFont="1" applyBorder="1"/>
    <xf numFmtId="165" fontId="0" fillId="0" borderId="0" xfId="0" applyNumberFormat="1"/>
    <xf numFmtId="164" fontId="0" fillId="4" borderId="2" xfId="0" applyNumberForma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4" fontId="0" fillId="4" borderId="33" xfId="0" applyNumberFormat="1" applyFill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9" fontId="0" fillId="0" borderId="1" xfId="2" applyFont="1" applyBorder="1" applyAlignment="1">
      <alignment horizontal="center"/>
    </xf>
    <xf numFmtId="0" fontId="7" fillId="5" borderId="20" xfId="0" applyFont="1" applyFill="1" applyBorder="1" applyAlignment="1">
      <alignment horizontal="center"/>
    </xf>
    <xf numFmtId="0" fontId="7" fillId="5" borderId="21" xfId="0" applyFont="1" applyFill="1" applyBorder="1" applyAlignment="1">
      <alignment horizontal="center"/>
    </xf>
    <xf numFmtId="0" fontId="11" fillId="0" borderId="2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9" fontId="12" fillId="0" borderId="6" xfId="2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9" fontId="12" fillId="0" borderId="31" xfId="2" applyFont="1" applyBorder="1" applyAlignment="1">
      <alignment horizontal="center" vertical="center"/>
    </xf>
    <xf numFmtId="9" fontId="12" fillId="0" borderId="35" xfId="0" applyNumberFormat="1" applyFont="1" applyBorder="1" applyAlignment="1">
      <alignment horizontal="center" vertical="center"/>
    </xf>
    <xf numFmtId="9" fontId="12" fillId="0" borderId="36" xfId="0" applyNumberFormat="1" applyFont="1" applyBorder="1" applyAlignment="1">
      <alignment horizontal="center" vertical="center"/>
    </xf>
    <xf numFmtId="0" fontId="7" fillId="2" borderId="23" xfId="0" applyFont="1" applyFill="1" applyBorder="1" applyAlignment="1">
      <alignment horizontal="center"/>
    </xf>
    <xf numFmtId="0" fontId="10" fillId="0" borderId="24" xfId="0" applyFont="1" applyBorder="1" applyAlignment="1">
      <alignment horizontal="center" vertical="center"/>
    </xf>
    <xf numFmtId="0" fontId="7" fillId="2" borderId="25" xfId="0" applyFont="1" applyFill="1" applyBorder="1" applyAlignment="1">
      <alignment horizontal="center"/>
    </xf>
    <xf numFmtId="0" fontId="10" fillId="0" borderId="27" xfId="0" applyFont="1" applyBorder="1" applyAlignment="1">
      <alignment horizontal="center" vertical="center"/>
    </xf>
    <xf numFmtId="164" fontId="7" fillId="6" borderId="7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166" fontId="7" fillId="2" borderId="9" xfId="0" applyNumberFormat="1" applyFont="1" applyFill="1" applyBorder="1" applyAlignment="1">
      <alignment horizontal="center" vertical="center"/>
    </xf>
    <xf numFmtId="22" fontId="14" fillId="0" borderId="0" xfId="0" applyNumberFormat="1" applyFont="1"/>
    <xf numFmtId="0" fontId="14" fillId="0" borderId="0" xfId="0" applyFont="1"/>
    <xf numFmtId="14" fontId="14" fillId="0" borderId="0" xfId="0" applyNumberFormat="1" applyFont="1"/>
    <xf numFmtId="0" fontId="7" fillId="5" borderId="21" xfId="0" applyFont="1" applyFill="1" applyBorder="1" applyAlignment="1">
      <alignment horizontal="center"/>
    </xf>
    <xf numFmtId="0" fontId="0" fillId="0" borderId="39" xfId="0" applyBorder="1"/>
    <xf numFmtId="0" fontId="0" fillId="7" borderId="40" xfId="0" applyFill="1" applyBorder="1"/>
    <xf numFmtId="0" fontId="0" fillId="7" borderId="41" xfId="0" applyFill="1" applyBorder="1"/>
    <xf numFmtId="0" fontId="0" fillId="7" borderId="42" xfId="0" applyFill="1" applyBorder="1"/>
    <xf numFmtId="0" fontId="0" fillId="7" borderId="43" xfId="0" applyFill="1" applyBorder="1"/>
    <xf numFmtId="0" fontId="0" fillId="0" borderId="0" xfId="0" applyBorder="1"/>
    <xf numFmtId="22" fontId="0" fillId="0" borderId="39" xfId="0" applyNumberFormat="1" applyBorder="1"/>
    <xf numFmtId="22" fontId="0" fillId="0" borderId="1" xfId="0" applyNumberFormat="1" applyBorder="1"/>
    <xf numFmtId="0" fontId="15" fillId="8" borderId="0" xfId="0" applyFont="1" applyFill="1" applyBorder="1"/>
    <xf numFmtId="0" fontId="0" fillId="4" borderId="1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4" fontId="16" fillId="9" borderId="44" xfId="3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7" fillId="5" borderId="21" xfId="0" applyFont="1" applyFill="1" applyBorder="1" applyAlignment="1">
      <alignment horizontal="center"/>
    </xf>
    <xf numFmtId="0" fontId="7" fillId="5" borderId="22" xfId="0" applyFont="1" applyFill="1" applyBorder="1" applyAlignment="1">
      <alignment horizontal="center"/>
    </xf>
    <xf numFmtId="0" fontId="7" fillId="5" borderId="34" xfId="0" applyFont="1" applyFill="1" applyBorder="1" applyAlignment="1">
      <alignment horizontal="center"/>
    </xf>
    <xf numFmtId="0" fontId="7" fillId="2" borderId="37" xfId="0" applyFont="1" applyFill="1" applyBorder="1" applyAlignment="1">
      <alignment horizontal="center"/>
    </xf>
    <xf numFmtId="0" fontId="7" fillId="2" borderId="38" xfId="0" applyFont="1" applyFill="1" applyBorder="1" applyAlignment="1">
      <alignment horizontal="center"/>
    </xf>
  </cellXfs>
  <cellStyles count="4">
    <cellStyle name="Normal" xfId="0" builtinId="0"/>
    <cellStyle name="Normal 2" xfId="3" xr:uid="{68EA71FF-8AC7-43EF-9870-A44195CA4F0D}"/>
    <cellStyle name="Normal 3 3" xfId="1" xr:uid="{F368CA6F-7F22-4B90-A59A-D44A3728C5D9}"/>
    <cellStyle name="Percent" xfId="2" builtinId="5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-409]mmm\-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mmm\-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EB0000"/>
      <color rgb="FFE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Top 5 Accounts WL consumption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caluculation!$T$1</c:f>
              <c:strCache>
                <c:ptCount val="1"/>
                <c:pt idx="0">
                  <c:v>WL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caluculation!$S$2:$S$6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caluculation!$T$2:$T$6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0F-4721-8C2E-2B3B36069C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07240192"/>
        <c:axId val="2026521456"/>
      </c:barChart>
      <c:lineChart>
        <c:grouping val="standard"/>
        <c:varyColors val="0"/>
        <c:ser>
          <c:idx val="1"/>
          <c:order val="1"/>
          <c:tx>
            <c:strRef>
              <c:f>caluculation!$U$1</c:f>
              <c:strCache>
                <c:ptCount val="1"/>
                <c:pt idx="0">
                  <c:v>% of Total WL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caluculation!$S$2:$S$6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caluculation!$U$2:$U$6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40F-4721-8C2E-2B3B36069C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07230192"/>
        <c:axId val="2026523120"/>
      </c:lineChart>
      <c:catAx>
        <c:axId val="200724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521456"/>
        <c:crosses val="autoZero"/>
        <c:auto val="1"/>
        <c:lblAlgn val="ctr"/>
        <c:lblOffset val="100"/>
        <c:noMultiLvlLbl val="0"/>
      </c:catAx>
      <c:valAx>
        <c:axId val="20265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40192"/>
        <c:crosses val="autoZero"/>
        <c:crossBetween val="between"/>
      </c:valAx>
      <c:valAx>
        <c:axId val="202652312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30192"/>
        <c:crosses val="max"/>
        <c:crossBetween val="between"/>
      </c:valAx>
      <c:catAx>
        <c:axId val="20072301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26523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WL Utilization Indicator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caluculation!$Q$60</c:f>
              <c:strCache>
                <c:ptCount val="1"/>
                <c:pt idx="0">
                  <c:v>Chart</c:v>
                </c:pt>
              </c:strCache>
            </c:strRef>
          </c:tx>
          <c:dPt>
            <c:idx val="0"/>
            <c:bubble3D val="0"/>
            <c:spPr>
              <a:solidFill>
                <a:srgbClr val="E6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D2-40F3-A69D-AE178F51ED19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D2-40F3-A69D-AE178F51ED19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D2-40F3-A69D-AE178F51ED19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D2-40F3-A69D-AE178F51ED19}"/>
              </c:ext>
            </c:extLst>
          </c:dPt>
          <c:val>
            <c:numRef>
              <c:f>caluculation!$Q$61:$Q$64</c:f>
              <c:numCache>
                <c:formatCode>General</c:formatCode>
                <c:ptCount val="4"/>
                <c:pt idx="0">
                  <c:v>50</c:v>
                </c:pt>
                <c:pt idx="1">
                  <c:v>20</c:v>
                </c:pt>
                <c:pt idx="2">
                  <c:v>30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D2-40F3-A69D-AE178F51E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CDD-4A05-88B7-CCA94ACF4797}"/>
              </c:ext>
            </c:extLst>
          </c:dPt>
          <c:dPt>
            <c:idx val="1"/>
            <c:bubble3D val="0"/>
            <c:spPr>
              <a:solidFill>
                <a:schemeClr val="bg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CDD-4A05-88B7-CCA94ACF4797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CDD-4A05-88B7-CCA94ACF4797}"/>
              </c:ext>
            </c:extLst>
          </c:dPt>
          <c:val>
            <c:numRef>
              <c:f>caluculation!$R$61:$R$63</c:f>
              <c:numCache>
                <c:formatCode>General</c:formatCode>
                <c:ptCount val="3"/>
                <c:pt idx="0">
                  <c:v>-2</c:v>
                </c:pt>
                <c:pt idx="1">
                  <c:v>2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D-4A05-88B7-CCA94ACF4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The</a:t>
            </a:r>
            <a:r>
              <a:rPr lang="en-US" baseline="0"/>
              <a:t> </a:t>
            </a:r>
            <a:r>
              <a:rPr lang="en-US"/>
              <a:t>Analysts WL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Dashboard!$C$8</c:f>
              <c:strCache>
                <c:ptCount val="1"/>
                <c:pt idx="0">
                  <c:v>Moth WL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Dashboard!$B$9:$B$15</c:f>
              <c:strCache>
                <c:ptCount val="7"/>
                <c:pt idx="0">
                  <c:v>Agent7</c:v>
                </c:pt>
                <c:pt idx="1">
                  <c:v>Agent6</c:v>
                </c:pt>
                <c:pt idx="2">
                  <c:v>Agent5</c:v>
                </c:pt>
                <c:pt idx="3">
                  <c:v>Agent4</c:v>
                </c:pt>
                <c:pt idx="4">
                  <c:v>Agent3</c:v>
                </c:pt>
                <c:pt idx="5">
                  <c:v>Agent2</c:v>
                </c:pt>
                <c:pt idx="6">
                  <c:v>Agent1</c:v>
                </c:pt>
              </c:strCache>
            </c:strRef>
          </c:cat>
          <c:val>
            <c:numRef>
              <c:f>Dashboard!$C$9:$C$15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8A-4D53-9E3C-3AD412F7E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9595584"/>
        <c:axId val="61184416"/>
      </c:barChart>
      <c:lineChart>
        <c:grouping val="standard"/>
        <c:varyColors val="0"/>
        <c:ser>
          <c:idx val="1"/>
          <c:order val="1"/>
          <c:tx>
            <c:strRef>
              <c:f>Dashboard!$D$8</c:f>
              <c:strCache>
                <c:ptCount val="1"/>
                <c:pt idx="0">
                  <c:v>Number of Accounts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Dashboard!$B$9:$B$15</c:f>
              <c:strCache>
                <c:ptCount val="7"/>
                <c:pt idx="0">
                  <c:v>Agent7</c:v>
                </c:pt>
                <c:pt idx="1">
                  <c:v>Agent6</c:v>
                </c:pt>
                <c:pt idx="2">
                  <c:v>Agent5</c:v>
                </c:pt>
                <c:pt idx="3">
                  <c:v>Agent4</c:v>
                </c:pt>
                <c:pt idx="4">
                  <c:v>Agent3</c:v>
                </c:pt>
                <c:pt idx="5">
                  <c:v>Agent2</c:v>
                </c:pt>
                <c:pt idx="6">
                  <c:v>Agent1</c:v>
                </c:pt>
              </c:strCache>
            </c:strRef>
          </c:cat>
          <c:val>
            <c:numRef>
              <c:f>Dashboard!$D$9:$D$15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48A-4D53-9E3C-3AD412F7E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95584"/>
        <c:axId val="61184416"/>
      </c:lineChart>
      <c:catAx>
        <c:axId val="6959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84416"/>
        <c:crosses val="autoZero"/>
        <c:auto val="1"/>
        <c:lblAlgn val="ctr"/>
        <c:lblOffset val="100"/>
        <c:noMultiLvlLbl val="0"/>
      </c:catAx>
      <c:valAx>
        <c:axId val="6118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9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YTD 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751878555776004"/>
          <c:y val="0.11303554157290313"/>
          <c:w val="0.45121626595506947"/>
          <c:h val="0.7384659653199088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DFF-4456-9DE6-83AD68FD811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DFF-4456-9DE6-83AD68FD811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caluculation!$R$28:$R$29</c:f>
              <c:strCache>
                <c:ptCount val="2"/>
                <c:pt idx="0">
                  <c:v>WL </c:v>
                </c:pt>
                <c:pt idx="1">
                  <c:v>Up to date WL</c:v>
                </c:pt>
              </c:strCache>
            </c:strRef>
          </c:cat>
          <c:val>
            <c:numRef>
              <c:f>caluculation!$S$28:$S$29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FF-4456-9DE6-83AD68FD811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Top 5 Accounts WL consumption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caluculation!$T$1</c:f>
              <c:strCache>
                <c:ptCount val="1"/>
                <c:pt idx="0">
                  <c:v>WL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caluculation!$S$2:$S$6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caluculation!$T$2:$T$6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E-463C-8A96-6A5529C9F5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07240192"/>
        <c:axId val="2026521456"/>
      </c:barChart>
      <c:lineChart>
        <c:grouping val="standard"/>
        <c:varyColors val="0"/>
        <c:ser>
          <c:idx val="1"/>
          <c:order val="1"/>
          <c:tx>
            <c:strRef>
              <c:f>caluculation!$U$1</c:f>
              <c:strCache>
                <c:ptCount val="1"/>
                <c:pt idx="0">
                  <c:v>% of Total WL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caluculation!$S$2:$S$6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caluculation!$U$2:$U$6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0EE-463C-8A96-6A5529C9F5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07230192"/>
        <c:axId val="2026523120"/>
      </c:lineChart>
      <c:catAx>
        <c:axId val="200724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521456"/>
        <c:crosses val="autoZero"/>
        <c:auto val="1"/>
        <c:lblAlgn val="ctr"/>
        <c:lblOffset val="100"/>
        <c:noMultiLvlLbl val="0"/>
      </c:catAx>
      <c:valAx>
        <c:axId val="20265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40192"/>
        <c:crosses val="autoZero"/>
        <c:crossBetween val="between"/>
      </c:valAx>
      <c:valAx>
        <c:axId val="202652312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30192"/>
        <c:crosses val="max"/>
        <c:crossBetween val="between"/>
      </c:valAx>
      <c:catAx>
        <c:axId val="20072301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26523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WL Utilization Indicator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caluculation!$Q$60</c:f>
              <c:strCache>
                <c:ptCount val="1"/>
                <c:pt idx="0">
                  <c:v>Chart</c:v>
                </c:pt>
              </c:strCache>
            </c:strRef>
          </c:tx>
          <c:dPt>
            <c:idx val="0"/>
            <c:bubble3D val="0"/>
            <c:spPr>
              <a:solidFill>
                <a:srgbClr val="E6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34-492A-B20E-4508E671326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34-492A-B20E-4508E6713264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234-492A-B20E-4508E6713264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234-492A-B20E-4508E6713264}"/>
              </c:ext>
            </c:extLst>
          </c:dPt>
          <c:val>
            <c:numRef>
              <c:f>caluculation!$Q$61:$Q$64</c:f>
              <c:numCache>
                <c:formatCode>General</c:formatCode>
                <c:ptCount val="4"/>
                <c:pt idx="0">
                  <c:v>50</c:v>
                </c:pt>
                <c:pt idx="1">
                  <c:v>20</c:v>
                </c:pt>
                <c:pt idx="2">
                  <c:v>30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34-492A-B20E-4508E6713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48A-4030-B1E8-B84AD734F1D1}"/>
              </c:ext>
            </c:extLst>
          </c:dPt>
          <c:dPt>
            <c:idx val="1"/>
            <c:bubble3D val="0"/>
            <c:spPr>
              <a:solidFill>
                <a:schemeClr val="bg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48A-4030-B1E8-B84AD734F1D1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48A-4030-B1E8-B84AD734F1D1}"/>
              </c:ext>
            </c:extLst>
          </c:dPt>
          <c:val>
            <c:numRef>
              <c:f>caluculation!$R$61:$R$63</c:f>
              <c:numCache>
                <c:formatCode>General</c:formatCode>
                <c:ptCount val="3"/>
                <c:pt idx="0">
                  <c:v>-2</c:v>
                </c:pt>
                <c:pt idx="1">
                  <c:v>2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8A-4030-B1E8-B84AD734F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The</a:t>
            </a:r>
            <a:r>
              <a:rPr lang="en-US" baseline="0"/>
              <a:t> </a:t>
            </a:r>
            <a:r>
              <a:rPr lang="en-US"/>
              <a:t>Analysts WL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(2)'!$C$8</c:f>
              <c:strCache>
                <c:ptCount val="1"/>
                <c:pt idx="0">
                  <c:v>Moth WL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'Dashboard (2)'!$B$9:$B$15</c:f>
              <c:strCache>
                <c:ptCount val="7"/>
                <c:pt idx="0">
                  <c:v>Agent7</c:v>
                </c:pt>
                <c:pt idx="1">
                  <c:v>Agent6</c:v>
                </c:pt>
                <c:pt idx="2">
                  <c:v>Agent5</c:v>
                </c:pt>
                <c:pt idx="3">
                  <c:v>Agent4</c:v>
                </c:pt>
                <c:pt idx="4">
                  <c:v>Agent3</c:v>
                </c:pt>
                <c:pt idx="5">
                  <c:v>Agent2</c:v>
                </c:pt>
                <c:pt idx="6">
                  <c:v>Agent1</c:v>
                </c:pt>
              </c:strCache>
            </c:strRef>
          </c:cat>
          <c:val>
            <c:numRef>
              <c:f>'Dashboard (2)'!$C$9:$C$15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6-408A-9374-DEE3FBF86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9595584"/>
        <c:axId val="61184416"/>
      </c:barChart>
      <c:lineChart>
        <c:grouping val="standard"/>
        <c:varyColors val="0"/>
        <c:ser>
          <c:idx val="1"/>
          <c:order val="1"/>
          <c:tx>
            <c:strRef>
              <c:f>'Dashboard (2)'!$D$8</c:f>
              <c:strCache>
                <c:ptCount val="1"/>
                <c:pt idx="0">
                  <c:v>Number of Accounts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'Dashboard (2)'!$B$9:$B$15</c:f>
              <c:strCache>
                <c:ptCount val="7"/>
                <c:pt idx="0">
                  <c:v>Agent7</c:v>
                </c:pt>
                <c:pt idx="1">
                  <c:v>Agent6</c:v>
                </c:pt>
                <c:pt idx="2">
                  <c:v>Agent5</c:v>
                </c:pt>
                <c:pt idx="3">
                  <c:v>Agent4</c:v>
                </c:pt>
                <c:pt idx="4">
                  <c:v>Agent3</c:v>
                </c:pt>
                <c:pt idx="5">
                  <c:v>Agent2</c:v>
                </c:pt>
                <c:pt idx="6">
                  <c:v>Agent1</c:v>
                </c:pt>
              </c:strCache>
            </c:strRef>
          </c:cat>
          <c:val>
            <c:numRef>
              <c:f>'Dashboard (2)'!$D$9:$D$15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8F6-408A-9374-DEE3FBF86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95584"/>
        <c:axId val="61184416"/>
      </c:lineChart>
      <c:catAx>
        <c:axId val="6959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84416"/>
        <c:crosses val="autoZero"/>
        <c:auto val="1"/>
        <c:lblAlgn val="ctr"/>
        <c:lblOffset val="100"/>
        <c:noMultiLvlLbl val="0"/>
      </c:catAx>
      <c:valAx>
        <c:axId val="6118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9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YTD 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751878555776004"/>
          <c:y val="0.11303554157290313"/>
          <c:w val="0.45121626595506947"/>
          <c:h val="0.7384659653199088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0F4-403E-A7FE-4EF90126E9B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0F4-403E-A7FE-4EF90126E9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caluculation!$R$28:$R$29</c:f>
              <c:strCache>
                <c:ptCount val="2"/>
                <c:pt idx="0">
                  <c:v>WL </c:v>
                </c:pt>
                <c:pt idx="1">
                  <c:v>Up to date WL</c:v>
                </c:pt>
              </c:strCache>
            </c:strRef>
          </c:cat>
          <c:val>
            <c:numRef>
              <c:f>caluculation!$S$28:$S$29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F4-403E-A7FE-4EF90126E9B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Scroll" dx="26" fmlaLink="caluculation!$B$2" horiz="1" max="12" min="1" page="0" val="8"/>
</file>

<file path=xl/ctrlProps/ctrlProp2.xml><?xml version="1.0" encoding="utf-8"?>
<formControlPr xmlns="http://schemas.microsoft.com/office/spreadsheetml/2009/9/main" objectType="Radio" checked="Checked" firstButton="1" fmlaLink="caluculation!$C$2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Scroll" dx="26" fmlaLink="caluculation!$B$2" horiz="1" max="12" min="1" page="0" val="8"/>
</file>

<file path=xl/ctrlProps/ctrlProp7.xml><?xml version="1.0" encoding="utf-8"?>
<formControlPr xmlns="http://schemas.microsoft.com/office/spreadsheetml/2009/9/main" objectType="Radio" checked="Checked" firstButton="1" fmlaLink="caluculation!$C$2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fi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53789</xdr:colOff>
      <xdr:row>0</xdr:row>
      <xdr:rowOff>35858</xdr:rowOff>
    </xdr:from>
    <xdr:to>
      <xdr:col>19</xdr:col>
      <xdr:colOff>0</xdr:colOff>
      <xdr:row>2</xdr:row>
      <xdr:rowOff>137159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789" y="35858"/>
          <a:ext cx="11528611" cy="467061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478119</xdr:colOff>
      <xdr:row>2</xdr:row>
      <xdr:rowOff>171824</xdr:rowOff>
    </xdr:from>
    <xdr:to>
      <xdr:col>4</xdr:col>
      <xdr:colOff>470647</xdr:colOff>
      <xdr:row>13</xdr:row>
      <xdr:rowOff>153893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20AF38C-7212-4B1B-A1A1-65B146A4A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19" y="530412"/>
          <a:ext cx="2442881" cy="1954305"/>
        </a:xfrm>
        <a:prstGeom prst="rect">
          <a:avLst/>
        </a:prstGeom>
      </xdr:spPr>
    </xdr:pic>
    <xdr:clientData/>
  </xdr:twoCellAnchor>
  <xdr:twoCellAnchor editAs="oneCell">
    <xdr:from>
      <xdr:col>14</xdr:col>
      <xdr:colOff>478118</xdr:colOff>
      <xdr:row>5</xdr:row>
      <xdr:rowOff>67235</xdr:rowOff>
    </xdr:from>
    <xdr:to>
      <xdr:col>18</xdr:col>
      <xdr:colOff>588085</xdr:colOff>
      <xdr:row>11</xdr:row>
      <xdr:rowOff>134471</xdr:rowOff>
    </xdr:to>
    <xdr:pic macro="[0]!Showme">
      <xdr:nvPicPr>
        <xdr:cNvPr id="18" name="Picture 17">
          <a:extLst>
            <a:ext uri="{FF2B5EF4-FFF2-40B4-BE49-F238E27FC236}">
              <a16:creationId xmlns:a16="http://schemas.microsoft.com/office/drawing/2014/main" id="{7EB631F3-9F61-4AFE-96A5-180439CB1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3" y="963706"/>
          <a:ext cx="2560320" cy="1143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84000</xdr:colOff>
      <xdr:row>0</xdr:row>
      <xdr:rowOff>32658</xdr:rowOff>
    </xdr:from>
    <xdr:to>
      <xdr:col>21</xdr:col>
      <xdr:colOff>67644</xdr:colOff>
      <xdr:row>2</xdr:row>
      <xdr:rowOff>78378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4000" y="32658"/>
          <a:ext cx="15339391" cy="412252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167640</xdr:colOff>
          <xdr:row>0</xdr:row>
          <xdr:rowOff>91440</xdr:rowOff>
        </xdr:from>
        <xdr:to>
          <xdr:col>8</xdr:col>
          <xdr:colOff>76200</xdr:colOff>
          <xdr:row>2</xdr:row>
          <xdr:rowOff>7620</xdr:rowOff>
        </xdr:to>
        <xdr:sp macro="" textlink="">
          <xdr:nvSpPr>
            <xdr:cNvPr id="5122" name="Scroll Ba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8</xdr:col>
      <xdr:colOff>322384</xdr:colOff>
      <xdr:row>0</xdr:row>
      <xdr:rowOff>97452</xdr:rowOff>
    </xdr:from>
    <xdr:to>
      <xdr:col>10</xdr:col>
      <xdr:colOff>439615</xdr:colOff>
      <xdr:row>2</xdr:row>
      <xdr:rowOff>9769</xdr:rowOff>
    </xdr:to>
    <xdr:sp macro="" textlink="caluculation!K1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766538" y="97452"/>
          <a:ext cx="1328615" cy="2835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88902C3-DEDA-4382-A2FD-CFA2CAB7A428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Aug-21</a:t>
          </a:fld>
          <a:endParaRPr lang="en-US" sz="20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</xdr:colOff>
          <xdr:row>5</xdr:row>
          <xdr:rowOff>152400</xdr:rowOff>
        </xdr:from>
        <xdr:to>
          <xdr:col>2</xdr:col>
          <xdr:colOff>335280</xdr:colOff>
          <xdr:row>6</xdr:row>
          <xdr:rowOff>182880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32662</xdr:colOff>
      <xdr:row>5</xdr:row>
      <xdr:rowOff>116542</xdr:rowOff>
    </xdr:from>
    <xdr:to>
      <xdr:col>20</xdr:col>
      <xdr:colOff>586154</xdr:colOff>
      <xdr:row>36</xdr:row>
      <xdr:rowOff>29308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2662" y="1044619"/>
          <a:ext cx="15265954" cy="57547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566616</xdr:colOff>
      <xdr:row>0</xdr:row>
      <xdr:rowOff>44660</xdr:rowOff>
    </xdr:from>
    <xdr:to>
      <xdr:col>20</xdr:col>
      <xdr:colOff>461914</xdr:colOff>
      <xdr:row>2</xdr:row>
      <xdr:rowOff>44661</xdr:rowOff>
    </xdr:to>
    <xdr:sp macro="[0]!show_form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100-00000E000000}"/>
            </a:ext>
            <a:ext uri="{147F2762-F138-4A5C-976F-8EAC2B608ADB}">
              <a16:predDERef xmlns:a16="http://schemas.microsoft.com/office/drawing/2014/main" pred="{00000000-0008-0000-0000-000004000000}"/>
            </a:ext>
          </a:extLst>
        </xdr:cNvPr>
        <xdr:cNvSpPr/>
      </xdr:nvSpPr>
      <xdr:spPr>
        <a:xfrm>
          <a:off x="12856308" y="44660"/>
          <a:ext cx="2318068" cy="371232"/>
        </a:xfrm>
        <a:prstGeom prst="roundRect">
          <a:avLst/>
        </a:prstGeom>
        <a:solidFill>
          <a:srgbClr val="EB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800" b="1">
              <a:solidFill>
                <a:schemeClr val="bg1"/>
              </a:solidFill>
              <a:latin typeface="+mn-lt"/>
              <a:ea typeface="+mn-lt"/>
              <a:cs typeface="+mn-lt"/>
            </a:rPr>
            <a:t>Updates Form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510540</xdr:colOff>
          <xdr:row>5</xdr:row>
          <xdr:rowOff>160020</xdr:rowOff>
        </xdr:from>
        <xdr:to>
          <xdr:col>3</xdr:col>
          <xdr:colOff>685800</xdr:colOff>
          <xdr:row>6</xdr:row>
          <xdr:rowOff>175260</xdr:rowOff>
        </xdr:to>
        <xdr:sp macro="" textlink="">
          <xdr:nvSpPr>
            <xdr:cNvPr id="5128" name="Option 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5</xdr:row>
          <xdr:rowOff>160020</xdr:rowOff>
        </xdr:from>
        <xdr:to>
          <xdr:col>4</xdr:col>
          <xdr:colOff>411480</xdr:colOff>
          <xdr:row>6</xdr:row>
          <xdr:rowOff>175260</xdr:rowOff>
        </xdr:to>
        <xdr:sp macro="" textlink="">
          <xdr:nvSpPr>
            <xdr:cNvPr id="5129" name="Option 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335280</xdr:colOff>
          <xdr:row>5</xdr:row>
          <xdr:rowOff>167640</xdr:rowOff>
        </xdr:from>
        <xdr:to>
          <xdr:col>5</xdr:col>
          <xdr:colOff>510540</xdr:colOff>
          <xdr:row>7</xdr:row>
          <xdr:rowOff>7620</xdr:rowOff>
        </xdr:to>
        <xdr:sp macro="" textlink="">
          <xdr:nvSpPr>
            <xdr:cNvPr id="5130" name="Option 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551788</xdr:colOff>
      <xdr:row>21</xdr:row>
      <xdr:rowOff>69723</xdr:rowOff>
    </xdr:from>
    <xdr:to>
      <xdr:col>20</xdr:col>
      <xdr:colOff>462140</xdr:colOff>
      <xdr:row>35</xdr:row>
      <xdr:rowOff>87231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90678</xdr:colOff>
      <xdr:row>16</xdr:row>
      <xdr:rowOff>62757</xdr:rowOff>
    </xdr:from>
    <xdr:to>
      <xdr:col>5</xdr:col>
      <xdr:colOff>718207</xdr:colOff>
      <xdr:row>34</xdr:row>
      <xdr:rowOff>68385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89878</xdr:colOff>
      <xdr:row>16</xdr:row>
      <xdr:rowOff>71715</xdr:rowOff>
    </xdr:from>
    <xdr:to>
      <xdr:col>5</xdr:col>
      <xdr:colOff>717407</xdr:colOff>
      <xdr:row>34</xdr:row>
      <xdr:rowOff>77342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557069</xdr:colOff>
      <xdr:row>6</xdr:row>
      <xdr:rowOff>167344</xdr:rowOff>
    </xdr:from>
    <xdr:to>
      <xdr:col>20</xdr:col>
      <xdr:colOff>468676</xdr:colOff>
      <xdr:row>20</xdr:row>
      <xdr:rowOff>147911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158286</xdr:colOff>
      <xdr:row>16</xdr:row>
      <xdr:rowOff>68383</xdr:rowOff>
    </xdr:from>
    <xdr:to>
      <xdr:col>11</xdr:col>
      <xdr:colOff>340619</xdr:colOff>
      <xdr:row>34</xdr:row>
      <xdr:rowOff>74010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0.66274</cdr:x>
      <cdr:y>0.63072</cdr:y>
    </cdr:from>
    <cdr:to>
      <cdr:x>0.86274</cdr:x>
      <cdr:y>0.96405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2B85EF4-070B-40FE-A15C-4A5342CB8240}"/>
            </a:ext>
          </a:extLst>
        </cdr:cNvPr>
        <cdr:cNvSpPr txBox="1"/>
      </cdr:nvSpPr>
      <cdr:spPr>
        <a:xfrm xmlns:a="http://schemas.openxmlformats.org/drawingml/2006/main">
          <a:off x="3030070" y="173019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0.44608</cdr:x>
      <cdr:y>0.48284</cdr:y>
    </cdr:from>
    <cdr:to>
      <cdr:x>0.54575</cdr:x>
      <cdr:y>0.57353</cdr:y>
    </cdr:to>
    <cdr:sp macro="" textlink="caluculation!$R$5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1C41EB39-9B65-4165-8930-DD57A8AD777D}"/>
            </a:ext>
          </a:extLst>
        </cdr:cNvPr>
        <cdr:cNvSpPr txBox="1"/>
      </cdr:nvSpPr>
      <cdr:spPr>
        <a:xfrm xmlns:a="http://schemas.openxmlformats.org/drawingml/2006/main">
          <a:off x="2447363" y="1766051"/>
          <a:ext cx="546847" cy="3316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A655FFE-3449-4DFF-9A9A-63DB668B761A}" type="TxLink">
            <a:rPr lang="en-US" sz="1600" b="1" i="0" u="none" strike="noStrike">
              <a:solidFill>
                <a:schemeClr val="bg2">
                  <a:lumMod val="50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US" sz="1600" b="1">
            <a:solidFill>
              <a:schemeClr val="bg2">
                <a:lumMod val="50000"/>
              </a:schemeClr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26126</xdr:colOff>
      <xdr:row>0</xdr:row>
      <xdr:rowOff>32658</xdr:rowOff>
    </xdr:from>
    <xdr:to>
      <xdr:col>21</xdr:col>
      <xdr:colOff>9770</xdr:colOff>
      <xdr:row>2</xdr:row>
      <xdr:rowOff>78378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26" y="32658"/>
          <a:ext cx="15376044" cy="41148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167640</xdr:colOff>
          <xdr:row>0</xdr:row>
          <xdr:rowOff>91440</xdr:rowOff>
        </xdr:from>
        <xdr:to>
          <xdr:col>8</xdr:col>
          <xdr:colOff>76200</xdr:colOff>
          <xdr:row>2</xdr:row>
          <xdr:rowOff>7620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8</xdr:col>
      <xdr:colOff>322384</xdr:colOff>
      <xdr:row>0</xdr:row>
      <xdr:rowOff>97452</xdr:rowOff>
    </xdr:from>
    <xdr:to>
      <xdr:col>10</xdr:col>
      <xdr:colOff>439615</xdr:colOff>
      <xdr:row>2</xdr:row>
      <xdr:rowOff>9769</xdr:rowOff>
    </xdr:to>
    <xdr:sp macro="" textlink="caluculation!K1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7789984" y="97452"/>
          <a:ext cx="1336431" cy="278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88902C3-DEDA-4382-A2FD-CFA2CAB7A428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Aug-21</a:t>
          </a:fld>
          <a:endParaRPr lang="en-US" sz="20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</xdr:colOff>
          <xdr:row>5</xdr:row>
          <xdr:rowOff>152400</xdr:rowOff>
        </xdr:from>
        <xdr:to>
          <xdr:col>2</xdr:col>
          <xdr:colOff>335280</xdr:colOff>
          <xdr:row>6</xdr:row>
          <xdr:rowOff>182880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32662</xdr:colOff>
      <xdr:row>5</xdr:row>
      <xdr:rowOff>116542</xdr:rowOff>
    </xdr:from>
    <xdr:to>
      <xdr:col>20</xdr:col>
      <xdr:colOff>586154</xdr:colOff>
      <xdr:row>36</xdr:row>
      <xdr:rowOff>29308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2662" y="1030942"/>
          <a:ext cx="15336292" cy="57039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566616</xdr:colOff>
      <xdr:row>0</xdr:row>
      <xdr:rowOff>44660</xdr:rowOff>
    </xdr:from>
    <xdr:to>
      <xdr:col>20</xdr:col>
      <xdr:colOff>461914</xdr:colOff>
      <xdr:row>2</xdr:row>
      <xdr:rowOff>44661</xdr:rowOff>
    </xdr:to>
    <xdr:sp macro="[0]!show_form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  <a:ext uri="{147F2762-F138-4A5C-976F-8EAC2B608ADB}">
              <a16:predDERef xmlns:a16="http://schemas.microsoft.com/office/drawing/2014/main" pred="{00000000-0008-0000-0000-000004000000}"/>
            </a:ext>
          </a:extLst>
        </xdr:cNvPr>
        <xdr:cNvSpPr/>
      </xdr:nvSpPr>
      <xdr:spPr>
        <a:xfrm>
          <a:off x="12911016" y="44660"/>
          <a:ext cx="2333698" cy="365761"/>
        </a:xfrm>
        <a:prstGeom prst="roundRect">
          <a:avLst/>
        </a:prstGeom>
        <a:solidFill>
          <a:srgbClr val="EB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800" b="1">
              <a:solidFill>
                <a:schemeClr val="bg1"/>
              </a:solidFill>
              <a:latin typeface="+mn-lt"/>
              <a:ea typeface="+mn-lt"/>
              <a:cs typeface="+mn-lt"/>
            </a:rPr>
            <a:t>Updates Form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510540</xdr:colOff>
          <xdr:row>5</xdr:row>
          <xdr:rowOff>160020</xdr:rowOff>
        </xdr:from>
        <xdr:to>
          <xdr:col>3</xdr:col>
          <xdr:colOff>685800</xdr:colOff>
          <xdr:row>6</xdr:row>
          <xdr:rowOff>175260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5</xdr:row>
          <xdr:rowOff>160020</xdr:rowOff>
        </xdr:from>
        <xdr:to>
          <xdr:col>4</xdr:col>
          <xdr:colOff>411480</xdr:colOff>
          <xdr:row>6</xdr:row>
          <xdr:rowOff>175260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335280</xdr:colOff>
          <xdr:row>5</xdr:row>
          <xdr:rowOff>167640</xdr:rowOff>
        </xdr:from>
        <xdr:to>
          <xdr:col>5</xdr:col>
          <xdr:colOff>510540</xdr:colOff>
          <xdr:row>7</xdr:row>
          <xdr:rowOff>7620</xdr:rowOff>
        </xdr:to>
        <xdr:sp macro="" textlink="">
          <xdr:nvSpPr>
            <xdr:cNvPr id="6149" name="Option 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551788</xdr:colOff>
      <xdr:row>21</xdr:row>
      <xdr:rowOff>69723</xdr:rowOff>
    </xdr:from>
    <xdr:to>
      <xdr:col>20</xdr:col>
      <xdr:colOff>462140</xdr:colOff>
      <xdr:row>35</xdr:row>
      <xdr:rowOff>87231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90678</xdr:colOff>
      <xdr:row>16</xdr:row>
      <xdr:rowOff>62757</xdr:rowOff>
    </xdr:from>
    <xdr:to>
      <xdr:col>5</xdr:col>
      <xdr:colOff>718207</xdr:colOff>
      <xdr:row>34</xdr:row>
      <xdr:rowOff>68385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89878</xdr:colOff>
      <xdr:row>16</xdr:row>
      <xdr:rowOff>71715</xdr:rowOff>
    </xdr:from>
    <xdr:to>
      <xdr:col>5</xdr:col>
      <xdr:colOff>717407</xdr:colOff>
      <xdr:row>34</xdr:row>
      <xdr:rowOff>77342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557069</xdr:colOff>
      <xdr:row>6</xdr:row>
      <xdr:rowOff>167344</xdr:rowOff>
    </xdr:from>
    <xdr:to>
      <xdr:col>20</xdr:col>
      <xdr:colOff>468676</xdr:colOff>
      <xdr:row>20</xdr:row>
      <xdr:rowOff>147911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158286</xdr:colOff>
      <xdr:row>16</xdr:row>
      <xdr:rowOff>68383</xdr:rowOff>
    </xdr:from>
    <xdr:to>
      <xdr:col>11</xdr:col>
      <xdr:colOff>340619</xdr:colOff>
      <xdr:row>34</xdr:row>
      <xdr:rowOff>74010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0.66274</cdr:x>
      <cdr:y>0.63072</cdr:y>
    </cdr:from>
    <cdr:to>
      <cdr:x>0.86274</cdr:x>
      <cdr:y>0.96405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2B85EF4-070B-40FE-A15C-4A5342CB8240}"/>
            </a:ext>
          </a:extLst>
        </cdr:cNvPr>
        <cdr:cNvSpPr txBox="1"/>
      </cdr:nvSpPr>
      <cdr:spPr>
        <a:xfrm xmlns:a="http://schemas.openxmlformats.org/drawingml/2006/main">
          <a:off x="3030070" y="173019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0.44608</cdr:x>
      <cdr:y>0.48284</cdr:y>
    </cdr:from>
    <cdr:to>
      <cdr:x>0.54575</cdr:x>
      <cdr:y>0.57353</cdr:y>
    </cdr:to>
    <cdr:sp macro="" textlink="caluculation!$R$5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1C41EB39-9B65-4165-8930-DD57A8AD777D}"/>
            </a:ext>
          </a:extLst>
        </cdr:cNvPr>
        <cdr:cNvSpPr txBox="1"/>
      </cdr:nvSpPr>
      <cdr:spPr>
        <a:xfrm xmlns:a="http://schemas.openxmlformats.org/drawingml/2006/main">
          <a:off x="2447363" y="1766051"/>
          <a:ext cx="546847" cy="3316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A655FFE-3449-4DFF-9A9A-63DB668B761A}" type="TxLink">
            <a:rPr lang="en-US" sz="1600" b="1" i="0" u="none" strike="noStrike">
              <a:solidFill>
                <a:schemeClr val="bg2">
                  <a:lumMod val="50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US" sz="1600" b="1">
            <a:solidFill>
              <a:schemeClr val="bg2">
                <a:lumMod val="50000"/>
              </a:schemeClr>
            </a:solidFill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487680</xdr:colOff>
      <xdr:row>1</xdr:row>
      <xdr:rowOff>99060</xdr:rowOff>
    </xdr:from>
    <xdr:to>
      <xdr:col>23</xdr:col>
      <xdr:colOff>434340</xdr:colOff>
      <xdr:row>2</xdr:row>
      <xdr:rowOff>152400</xdr:rowOff>
    </xdr:to>
    <xdr:sp macro="[0]!VisibleTru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5681960" y="281940"/>
          <a:ext cx="1165860" cy="236220"/>
        </a:xfrm>
        <a:prstGeom prst="rect">
          <a:avLst/>
        </a:prstGeom>
        <a:noFill/>
        <a:ln>
          <a:noFill/>
        </a:ln>
        <a:effectLst>
          <a:outerShdw blurRad="57150" dist="19050" dir="5400000" algn="ctr" rotWithShape="0">
            <a:schemeClr val="bg1">
              <a:alpha val="63000"/>
            </a:scheme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Visible All Sheets</a:t>
          </a:r>
        </a:p>
      </xdr:txBody>
    </xdr:sp>
    <xdr:clientData/>
  </xdr:twoCellAnchor>
  <xdr:twoCellAnchor>
    <xdr:from>
      <xdr:col>5</xdr:col>
      <xdr:colOff>190500</xdr:colOff>
      <xdr:row>0</xdr:row>
      <xdr:rowOff>160020</xdr:rowOff>
    </xdr:from>
    <xdr:to>
      <xdr:col>6</xdr:col>
      <xdr:colOff>678180</xdr:colOff>
      <xdr:row>2</xdr:row>
      <xdr:rowOff>38100</xdr:rowOff>
    </xdr:to>
    <xdr:sp macro="[0]!VisibleFal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909060" y="160020"/>
          <a:ext cx="1097280" cy="24384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Hide</a:t>
          </a:r>
          <a:r>
            <a:rPr lang="en-US" sz="1100" baseline="0"/>
            <a:t> All Sheets</a:t>
          </a:r>
          <a:endParaRPr lang="en-US" sz="1100"/>
        </a:p>
      </xdr:txBody>
    </xdr:sp>
    <xdr:clientData/>
  </xdr:twoCellAnchor>
  <xdr:twoCellAnchor>
    <xdr:from>
      <xdr:col>19</xdr:col>
      <xdr:colOff>289560</xdr:colOff>
      <xdr:row>1</xdr:row>
      <xdr:rowOff>76200</xdr:rowOff>
    </xdr:from>
    <xdr:to>
      <xdr:col>21</xdr:col>
      <xdr:colOff>152400</xdr:colOff>
      <xdr:row>2</xdr:row>
      <xdr:rowOff>121920</xdr:rowOff>
    </xdr:to>
    <xdr:sp macro="[0]!Togg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4264640" y="259080"/>
          <a:ext cx="1082040" cy="228600"/>
        </a:xfrm>
        <a:prstGeom prst="rect">
          <a:avLst/>
        </a:prstGeom>
        <a:noFill/>
        <a:effectLst>
          <a:outerShdw blurRad="57150" dist="19050" dir="5400000" algn="ctr" rotWithShape="0">
            <a:schemeClr val="bg1">
              <a:alpha val="63000"/>
            </a:scheme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Hide</a:t>
          </a:r>
          <a:r>
            <a:rPr lang="en-US" sz="1100" baseline="0"/>
            <a:t> Tool Bar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CEEE20-EDED-4A12-B098-C3678D97076A}" name="Table4" displayName="Table4" ref="B38:N138" totalsRowShown="0" headerRowDxfId="13">
  <autoFilter ref="B38:N138" xr:uid="{E1B0CC31-DA5F-45EE-BE14-D8A0C6D01D9C}"/>
  <tableColumns count="13">
    <tableColumn id="1" xr3:uid="{41C8CFEA-1992-499C-82D2-BE6409CA2FA2}" name="Customer" dataDxfId="12">
      <calculatedColumnFormula array="1">INDEX('WL Records'!$C2:$C1678, MATCH(0, COUNTIF($B$38:B38, 'WL Records'!$C2:$C1678), 0))</calculatedColumnFormula>
    </tableColumn>
    <tableColumn id="2" xr3:uid="{83C38B88-3CEE-4744-98AD-CF27B11AEC1E}" name="Jan-21">
      <calculatedColumnFormula>SUMIFS(Table1[WL],Table1[Month],C$25,Table1[Customer],$B39)</calculatedColumnFormula>
    </tableColumn>
    <tableColumn id="3" xr3:uid="{F00D2FB2-DF46-48E0-9DAF-C7C17C0705EA}" name="Feb-21">
      <calculatedColumnFormula>SUMIFS(Table1[WL],Table1[Month],D$25,Table1[Customer],$B39)</calculatedColumnFormula>
    </tableColumn>
    <tableColumn id="4" xr3:uid="{E6546064-AAD5-4E44-9D8C-040AFC7381E9}" name="Mar-21">
      <calculatedColumnFormula>SUMIFS(Table1[WL],Table1[Month],E$25,Table1[Customer],$B39)</calculatedColumnFormula>
    </tableColumn>
    <tableColumn id="5" xr3:uid="{BC5817CE-F211-4491-AC95-E4E1EA504AF7}" name="Apr-21">
      <calculatedColumnFormula>SUMIFS(Table1[WL],Table1[Month],F$25,Table1[Customer],$B39)</calculatedColumnFormula>
    </tableColumn>
    <tableColumn id="6" xr3:uid="{071DF622-8293-4C4C-9C62-A82BA3B40F4A}" name="May-21">
      <calculatedColumnFormula>SUMIFS(Table1[WL],Table1[Month],G$25,Table1[Customer],$B39)</calculatedColumnFormula>
    </tableColumn>
    <tableColumn id="7" xr3:uid="{5F606400-6D2A-4280-8C44-E5B3FDD89290}" name="Jun-21">
      <calculatedColumnFormula>SUMIFS(Table1[WL],Table1[Month],H$25,Table1[Customer],$B39)</calculatedColumnFormula>
    </tableColumn>
    <tableColumn id="8" xr3:uid="{4ECD106C-5271-4B8E-B473-7CD9F853612B}" name="Jul-21">
      <calculatedColumnFormula>SUMIFS(Table1[WL],Table1[Month],I$25,Table1[Customer],$B39)</calculatedColumnFormula>
    </tableColumn>
    <tableColumn id="9" xr3:uid="{18ABFB92-11E0-43DF-AFB5-62B68CF644CC}" name="Aug-21">
      <calculatedColumnFormula>SUMIFS(Table1[WL],Table1[Month],J$25,Table1[Customer],$B39)</calculatedColumnFormula>
    </tableColumn>
    <tableColumn id="10" xr3:uid="{6397C279-343C-4CDE-9C9E-9190DEE50DCA}" name="Sep-21">
      <calculatedColumnFormula>SUMIFS(Table1[WL],Table1[Month],K$25,Table1[Customer],$B39)</calculatedColumnFormula>
    </tableColumn>
    <tableColumn id="11" xr3:uid="{859D82AE-74D4-4CD8-A79B-6A2E06C47461}" name="Oct-21">
      <calculatedColumnFormula>SUMIFS(Table1[WL],Table1[Month],L$25,Table1[Customer],$B39)</calculatedColumnFormula>
    </tableColumn>
    <tableColumn id="12" xr3:uid="{11F6EE25-280B-44A2-8C9A-67A9A81414E5}" name="Nov-21">
      <calculatedColumnFormula>SUMIFS(Table1[WL],Table1[Month],M$25,Table1[Customer],$B39)</calculatedColumnFormula>
    </tableColumn>
    <tableColumn id="13" xr3:uid="{D0142E1E-2EE4-4067-BA24-A5DFA3FE8BC5}" name="Dec-21">
      <calculatedColumnFormula>SUMIFS(Table1[WL],Table1[Month],N$25,Table1[Customer],$B39)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026334-28B9-41E5-A77D-AF996C54DBD3}" name="Table1" displayName="Table1" ref="A1:I1027" totalsRowShown="0" headerRowDxfId="11" dataDxfId="10" tableBorderDxfId="9">
  <tableColumns count="9">
    <tableColumn id="1" xr3:uid="{76288324-3D15-4A1A-BFC4-D55F8F959841}" name="Month" dataDxfId="8"/>
    <tableColumn id="2" xr3:uid="{F96343B7-CDFD-4AFC-B090-F4A756D87090}" name="Employee" dataDxfId="7"/>
    <tableColumn id="3" xr3:uid="{38BA64FC-2503-45EF-A250-BCFCC635B69D}" name="Customer" dataDxfId="6"/>
    <tableColumn id="4" xr3:uid="{775C9173-3009-4D96-A18B-D9997B3E8F39}" name="Country" dataDxfId="5"/>
    <tableColumn id="5" xr3:uid="{083BCCA3-B8C6-4A7A-B7A5-81AF31A506F6}" name="Report Name " dataDxfId="4"/>
    <tableColumn id="6" xr3:uid="{DEB603ED-A5D9-45D3-93E2-9ADF0B7AF7FE}" name="Type" dataDxfId="3"/>
    <tableColumn id="7" xr3:uid="{B564EA80-8A84-4D8B-8140-398AE6A88C58}" name="BAU/One Off" dataDxfId="2"/>
    <tableColumn id="8" xr3:uid="{B7C97605-422B-4DB2-921E-20BB730409F8}" name="WL" dataDxfId="1"/>
    <tableColumn id="9" xr3:uid="{082A9C64-3D1E-4367-A568-56FD2AC5FB72}" name="Month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27714-70B3-4308-8C91-0DE9880079AC}">
  <sheetPr codeName="Sheet2"/>
  <dimension ref="A1"/>
  <sheetViews>
    <sheetView showGridLines="0" showRowColHeaders="0" tabSelected="1" zoomScale="102" zoomScaleNormal="102" workbookViewId="0">
      <selection activeCell="O15" sqref="O15"/>
    </sheetView>
  </sheetViews>
  <sheetFormatPr defaultRowHeight="14.4" x14ac:dyDescent="0.3"/>
  <sheetData/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5D4C-FA85-4A6B-A68C-CF94C4DC442D}">
  <sheetPr codeName="Sheet5"/>
  <dimension ref="B7:J15"/>
  <sheetViews>
    <sheetView showGridLines="0" zoomScale="79" zoomScaleNormal="79" workbookViewId="0">
      <selection activeCell="B4" sqref="B4"/>
    </sheetView>
  </sheetViews>
  <sheetFormatPr defaultRowHeight="14.4" x14ac:dyDescent="0.3"/>
  <cols>
    <col min="1" max="1" width="15.6640625" customWidth="1"/>
    <col min="2" max="2" width="13.109375" bestFit="1" customWidth="1"/>
    <col min="3" max="3" width="9.88671875" customWidth="1"/>
    <col min="4" max="4" width="19.33203125" customWidth="1"/>
    <col min="5" max="5" width="12.88671875" customWidth="1"/>
    <col min="6" max="6" width="13.5546875" customWidth="1"/>
    <col min="7" max="7" width="8.88671875" customWidth="1"/>
    <col min="8" max="8" width="15.5546875" bestFit="1" customWidth="1"/>
  </cols>
  <sheetData>
    <row r="7" spans="2:10" ht="15" thickBot="1" x14ac:dyDescent="0.35"/>
    <row r="8" spans="2:10" x14ac:dyDescent="0.3">
      <c r="B8" s="56" t="s">
        <v>0</v>
      </c>
      <c r="C8" s="57" t="s">
        <v>1</v>
      </c>
      <c r="D8" s="57" t="s">
        <v>2</v>
      </c>
      <c r="E8" s="57" t="s">
        <v>3</v>
      </c>
      <c r="F8" s="110" t="s">
        <v>4</v>
      </c>
      <c r="G8" s="112"/>
      <c r="H8" s="110" t="s">
        <v>5</v>
      </c>
      <c r="I8" s="110"/>
      <c r="J8" s="111"/>
    </row>
    <row r="9" spans="2:10" ht="15.6" x14ac:dyDescent="0.3">
      <c r="B9" s="58" t="str">
        <f>caluculation!L15</f>
        <v>Agent7</v>
      </c>
      <c r="C9" s="59">
        <f>caluculation!M15</f>
        <v>0</v>
      </c>
      <c r="D9" s="59">
        <f>caluculation!N15</f>
        <v>0</v>
      </c>
      <c r="E9" s="59">
        <f>caluculation!O15</f>
        <v>160</v>
      </c>
      <c r="F9" s="60">
        <f>caluculation!P15</f>
        <v>1</v>
      </c>
      <c r="G9" s="64">
        <f>F9</f>
        <v>1</v>
      </c>
      <c r="H9" s="106"/>
      <c r="I9" s="106"/>
      <c r="J9" s="107"/>
    </row>
    <row r="10" spans="2:10" ht="15.6" x14ac:dyDescent="0.3">
      <c r="B10" s="58" t="str">
        <f>caluculation!L16</f>
        <v>Agent6</v>
      </c>
      <c r="C10" s="59">
        <f>caluculation!M16</f>
        <v>0</v>
      </c>
      <c r="D10" s="59">
        <f>caluculation!N16</f>
        <v>0</v>
      </c>
      <c r="E10" s="59">
        <f>caluculation!O16</f>
        <v>160</v>
      </c>
      <c r="F10" s="60">
        <f>caluculation!P16</f>
        <v>1</v>
      </c>
      <c r="G10" s="64">
        <f t="shared" ref="G10:G15" si="0">F10</f>
        <v>1</v>
      </c>
      <c r="H10" s="106"/>
      <c r="I10" s="106"/>
      <c r="J10" s="107"/>
    </row>
    <row r="11" spans="2:10" ht="15.6" x14ac:dyDescent="0.3">
      <c r="B11" s="58" t="str">
        <f>caluculation!L17</f>
        <v>Agent5</v>
      </c>
      <c r="C11" s="59">
        <f>caluculation!M17</f>
        <v>0</v>
      </c>
      <c r="D11" s="59">
        <f>caluculation!N17</f>
        <v>0</v>
      </c>
      <c r="E11" s="59">
        <f>caluculation!O17</f>
        <v>160</v>
      </c>
      <c r="F11" s="60">
        <f>caluculation!P17</f>
        <v>1</v>
      </c>
      <c r="G11" s="64">
        <f t="shared" si="0"/>
        <v>1</v>
      </c>
      <c r="H11" s="106"/>
      <c r="I11" s="106"/>
      <c r="J11" s="107"/>
    </row>
    <row r="12" spans="2:10" ht="15.6" x14ac:dyDescent="0.3">
      <c r="B12" s="58" t="str">
        <f>caluculation!L18</f>
        <v>Agent4</v>
      </c>
      <c r="C12" s="59">
        <f>caluculation!M18</f>
        <v>0</v>
      </c>
      <c r="D12" s="59">
        <f>caluculation!N18</f>
        <v>0</v>
      </c>
      <c r="E12" s="59">
        <f>caluculation!O18</f>
        <v>160</v>
      </c>
      <c r="F12" s="60">
        <f>caluculation!P18</f>
        <v>1</v>
      </c>
      <c r="G12" s="64">
        <f t="shared" si="0"/>
        <v>1</v>
      </c>
      <c r="H12" s="106"/>
      <c r="I12" s="106"/>
      <c r="J12" s="107"/>
    </row>
    <row r="13" spans="2:10" ht="15.6" x14ac:dyDescent="0.3">
      <c r="B13" s="58" t="str">
        <f>caluculation!L19</f>
        <v>Agent3</v>
      </c>
      <c r="C13" s="59">
        <f>caluculation!M19</f>
        <v>0</v>
      </c>
      <c r="D13" s="59">
        <f>caluculation!N19</f>
        <v>0</v>
      </c>
      <c r="E13" s="59">
        <f>caluculation!O19</f>
        <v>160</v>
      </c>
      <c r="F13" s="60">
        <f>caluculation!P19</f>
        <v>1</v>
      </c>
      <c r="G13" s="64">
        <f t="shared" si="0"/>
        <v>1</v>
      </c>
      <c r="H13" s="106"/>
      <c r="I13" s="106"/>
      <c r="J13" s="107"/>
    </row>
    <row r="14" spans="2:10" ht="15.6" x14ac:dyDescent="0.3">
      <c r="B14" s="58" t="str">
        <f>caluculation!L20</f>
        <v>Agent2</v>
      </c>
      <c r="C14" s="59">
        <f>caluculation!M20</f>
        <v>0</v>
      </c>
      <c r="D14" s="59">
        <f>caluculation!N20</f>
        <v>0</v>
      </c>
      <c r="E14" s="59">
        <f>caluculation!O20</f>
        <v>160</v>
      </c>
      <c r="F14" s="60">
        <f>caluculation!P20</f>
        <v>1</v>
      </c>
      <c r="G14" s="64">
        <f t="shared" si="0"/>
        <v>1</v>
      </c>
      <c r="H14" s="106"/>
      <c r="I14" s="106"/>
      <c r="J14" s="107"/>
    </row>
    <row r="15" spans="2:10" ht="16.2" thickBot="1" x14ac:dyDescent="0.35">
      <c r="B15" s="61" t="str">
        <f>caluculation!L21</f>
        <v>Agent1</v>
      </c>
      <c r="C15" s="62">
        <f>caluculation!M21</f>
        <v>0</v>
      </c>
      <c r="D15" s="62">
        <f>caluculation!N21</f>
        <v>0</v>
      </c>
      <c r="E15" s="62">
        <f>caluculation!O21</f>
        <v>160</v>
      </c>
      <c r="F15" s="63">
        <f>caluculation!P21</f>
        <v>1</v>
      </c>
      <c r="G15" s="65">
        <f t="shared" si="0"/>
        <v>1</v>
      </c>
      <c r="H15" s="108"/>
      <c r="I15" s="108"/>
      <c r="J15" s="109"/>
    </row>
  </sheetData>
  <mergeCells count="9">
    <mergeCell ref="H13:J13"/>
    <mergeCell ref="H14:J14"/>
    <mergeCell ref="H15:J15"/>
    <mergeCell ref="H8:J8"/>
    <mergeCell ref="F8:G8"/>
    <mergeCell ref="H9:J9"/>
    <mergeCell ref="H10:J10"/>
    <mergeCell ref="H11:J11"/>
    <mergeCell ref="H12:J12"/>
  </mergeCells>
  <conditionalFormatting sqref="G9:G15">
    <cfRule type="iconSet" priority="1">
      <iconSet iconSet="4Arrows" showValue="0" reverse="1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croll Bar 2">
              <controlPr defaultSize="0" autoPict="0">
                <anchor moveWithCells="1">
                  <from>
                    <xdr:col>6</xdr:col>
                    <xdr:colOff>167640</xdr:colOff>
                    <xdr:row>0</xdr:row>
                    <xdr:rowOff>91440</xdr:rowOff>
                  </from>
                  <to>
                    <xdr:col>8</xdr:col>
                    <xdr:colOff>76200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Option Button 3">
              <controlPr defaultSize="0" autoFill="0" autoLine="0" autoPict="0">
                <anchor moveWithCells="1">
                  <from>
                    <xdr:col>2</xdr:col>
                    <xdr:colOff>160020</xdr:colOff>
                    <xdr:row>5</xdr:row>
                    <xdr:rowOff>152400</xdr:rowOff>
                  </from>
                  <to>
                    <xdr:col>2</xdr:col>
                    <xdr:colOff>335280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Option Button 8">
              <controlPr defaultSize="0" autoFill="0" autoLine="0" autoPict="0">
                <anchor moveWithCells="1">
                  <from>
                    <xdr:col>3</xdr:col>
                    <xdr:colOff>510540</xdr:colOff>
                    <xdr:row>5</xdr:row>
                    <xdr:rowOff>160020</xdr:rowOff>
                  </from>
                  <to>
                    <xdr:col>3</xdr:col>
                    <xdr:colOff>685800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Option Button 9">
              <controlPr defaultSize="0" autoFill="0" autoLine="0" autoPict="0">
                <anchor moveWithCells="1">
                  <from>
                    <xdr:col>4</xdr:col>
                    <xdr:colOff>236220</xdr:colOff>
                    <xdr:row>5</xdr:row>
                    <xdr:rowOff>160020</xdr:rowOff>
                  </from>
                  <to>
                    <xdr:col>4</xdr:col>
                    <xdr:colOff>411480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8" name="Option Button 10">
              <controlPr defaultSize="0" autoFill="0" autoLine="0" autoPict="0">
                <anchor moveWithCells="1">
                  <from>
                    <xdr:col>5</xdr:col>
                    <xdr:colOff>335280</xdr:colOff>
                    <xdr:row>5</xdr:row>
                    <xdr:rowOff>167640</xdr:rowOff>
                  </from>
                  <to>
                    <xdr:col>5</xdr:col>
                    <xdr:colOff>510540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FD3158F6-E498-4492-BF10-415A0BDE65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caluculation!$C$26:$N$26</xm:f>
              <xm:sqref>H9</xm:sqref>
            </x14:sparkline>
            <x14:sparkline>
              <xm:f>caluculation!$C$27:$N$27</xm:f>
              <xm:sqref>H10</xm:sqref>
            </x14:sparkline>
            <x14:sparkline>
              <xm:f>caluculation!$C$28:$N$28</xm:f>
              <xm:sqref>H11</xm:sqref>
            </x14:sparkline>
            <x14:sparkline>
              <xm:f>caluculation!$C$29:$N$29</xm:f>
              <xm:sqref>H12</xm:sqref>
            </x14:sparkline>
            <x14:sparkline>
              <xm:f>caluculation!$C$30:$N$30</xm:f>
              <xm:sqref>H13</xm:sqref>
            </x14:sparkline>
            <x14:sparkline>
              <xm:f>caluculation!$C$31:$N$31</xm:f>
              <xm:sqref>H14</xm:sqref>
            </x14:sparkline>
            <x14:sparkline>
              <xm:f>caluculation!$C$32:$N$32</xm:f>
              <xm:sqref>H15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94878-7659-4D40-A24F-296989403253}">
  <sheetPr codeName="Sheet9"/>
  <dimension ref="B7:J15"/>
  <sheetViews>
    <sheetView showGridLines="0" zoomScale="79" zoomScaleNormal="79" workbookViewId="0">
      <selection activeCell="B9" sqref="B9"/>
    </sheetView>
  </sheetViews>
  <sheetFormatPr defaultRowHeight="14.4" x14ac:dyDescent="0.3"/>
  <cols>
    <col min="1" max="1" width="15.6640625" customWidth="1"/>
    <col min="2" max="2" width="13.109375" bestFit="1" customWidth="1"/>
    <col min="3" max="3" width="9.88671875" customWidth="1"/>
    <col min="4" max="4" width="19.33203125" customWidth="1"/>
    <col min="5" max="5" width="12.88671875" customWidth="1"/>
    <col min="6" max="6" width="13.5546875" customWidth="1"/>
    <col min="7" max="7" width="8.88671875" customWidth="1"/>
    <col min="8" max="8" width="15.5546875" bestFit="1" customWidth="1"/>
  </cols>
  <sheetData>
    <row r="7" spans="2:10" ht="15" thickBot="1" x14ac:dyDescent="0.35"/>
    <row r="8" spans="2:10" x14ac:dyDescent="0.3">
      <c r="B8" s="56" t="s">
        <v>0</v>
      </c>
      <c r="C8" s="91" t="s">
        <v>1</v>
      </c>
      <c r="D8" s="91" t="s">
        <v>2</v>
      </c>
      <c r="E8" s="91" t="s">
        <v>3</v>
      </c>
      <c r="F8" s="110" t="s">
        <v>4</v>
      </c>
      <c r="G8" s="112"/>
      <c r="H8" s="110" t="s">
        <v>5</v>
      </c>
      <c r="I8" s="110"/>
      <c r="J8" s="111"/>
    </row>
    <row r="9" spans="2:10" ht="15.6" x14ac:dyDescent="0.3">
      <c r="B9" s="58" t="str">
        <f>caluculation!L15</f>
        <v>Agent7</v>
      </c>
      <c r="C9" s="59">
        <f>caluculation!M15</f>
        <v>0</v>
      </c>
      <c r="D9" s="59">
        <f>caluculation!N15</f>
        <v>0</v>
      </c>
      <c r="E9" s="59">
        <f>caluculation!O15</f>
        <v>160</v>
      </c>
      <c r="F9" s="60">
        <f>caluculation!P15</f>
        <v>1</v>
      </c>
      <c r="G9" s="64">
        <f>F9</f>
        <v>1</v>
      </c>
      <c r="H9" s="106"/>
      <c r="I9" s="106"/>
      <c r="J9" s="107"/>
    </row>
    <row r="10" spans="2:10" ht="15.6" x14ac:dyDescent="0.3">
      <c r="B10" s="58" t="str">
        <f>caluculation!L16</f>
        <v>Agent6</v>
      </c>
      <c r="C10" s="59">
        <f>caluculation!M16</f>
        <v>0</v>
      </c>
      <c r="D10" s="59">
        <f>caluculation!N16</f>
        <v>0</v>
      </c>
      <c r="E10" s="59">
        <f>caluculation!O16</f>
        <v>160</v>
      </c>
      <c r="F10" s="60">
        <f>caluculation!P16</f>
        <v>1</v>
      </c>
      <c r="G10" s="64">
        <f t="shared" ref="G10:G15" si="0">F10</f>
        <v>1</v>
      </c>
      <c r="H10" s="106"/>
      <c r="I10" s="106"/>
      <c r="J10" s="107"/>
    </row>
    <row r="11" spans="2:10" ht="15.6" x14ac:dyDescent="0.3">
      <c r="B11" s="58" t="str">
        <f>caluculation!L17</f>
        <v>Agent5</v>
      </c>
      <c r="C11" s="59">
        <f>caluculation!M17</f>
        <v>0</v>
      </c>
      <c r="D11" s="59">
        <f>caluculation!N17</f>
        <v>0</v>
      </c>
      <c r="E11" s="59">
        <f>caluculation!O17</f>
        <v>160</v>
      </c>
      <c r="F11" s="60">
        <f>caluculation!P17</f>
        <v>1</v>
      </c>
      <c r="G11" s="64">
        <f t="shared" si="0"/>
        <v>1</v>
      </c>
      <c r="H11" s="106"/>
      <c r="I11" s="106"/>
      <c r="J11" s="107"/>
    </row>
    <row r="12" spans="2:10" ht="15.6" x14ac:dyDescent="0.3">
      <c r="B12" s="58" t="str">
        <f>caluculation!L18</f>
        <v>Agent4</v>
      </c>
      <c r="C12" s="59">
        <f>caluculation!M18</f>
        <v>0</v>
      </c>
      <c r="D12" s="59">
        <f>caluculation!N18</f>
        <v>0</v>
      </c>
      <c r="E12" s="59">
        <f>caluculation!O18</f>
        <v>160</v>
      </c>
      <c r="F12" s="60">
        <f>caluculation!P18</f>
        <v>1</v>
      </c>
      <c r="G12" s="64">
        <f t="shared" si="0"/>
        <v>1</v>
      </c>
      <c r="H12" s="106"/>
      <c r="I12" s="106"/>
      <c r="J12" s="107"/>
    </row>
    <row r="13" spans="2:10" ht="15.6" x14ac:dyDescent="0.3">
      <c r="B13" s="58" t="str">
        <f>caluculation!L19</f>
        <v>Agent3</v>
      </c>
      <c r="C13" s="59">
        <f>caluculation!M19</f>
        <v>0</v>
      </c>
      <c r="D13" s="59">
        <f>caluculation!N19</f>
        <v>0</v>
      </c>
      <c r="E13" s="59">
        <f>caluculation!O19</f>
        <v>160</v>
      </c>
      <c r="F13" s="60">
        <f>caluculation!P19</f>
        <v>1</v>
      </c>
      <c r="G13" s="64">
        <f t="shared" si="0"/>
        <v>1</v>
      </c>
      <c r="H13" s="106"/>
      <c r="I13" s="106"/>
      <c r="J13" s="107"/>
    </row>
    <row r="14" spans="2:10" ht="15.6" x14ac:dyDescent="0.3">
      <c r="B14" s="58" t="str">
        <f>caluculation!L20</f>
        <v>Agent2</v>
      </c>
      <c r="C14" s="59">
        <f>caluculation!M20</f>
        <v>0</v>
      </c>
      <c r="D14" s="59">
        <f>caluculation!N20</f>
        <v>0</v>
      </c>
      <c r="E14" s="59">
        <f>caluculation!O20</f>
        <v>160</v>
      </c>
      <c r="F14" s="60">
        <f>caluculation!P20</f>
        <v>1</v>
      </c>
      <c r="G14" s="64">
        <f t="shared" si="0"/>
        <v>1</v>
      </c>
      <c r="H14" s="106"/>
      <c r="I14" s="106"/>
      <c r="J14" s="107"/>
    </row>
    <row r="15" spans="2:10" ht="16.2" thickBot="1" x14ac:dyDescent="0.35">
      <c r="B15" s="61" t="str">
        <f>caluculation!L21</f>
        <v>Agent1</v>
      </c>
      <c r="C15" s="62">
        <f>caluculation!M21</f>
        <v>0</v>
      </c>
      <c r="D15" s="62">
        <f>caluculation!N21</f>
        <v>0</v>
      </c>
      <c r="E15" s="62">
        <f>caluculation!O21</f>
        <v>160</v>
      </c>
      <c r="F15" s="63">
        <f>caluculation!P21</f>
        <v>1</v>
      </c>
      <c r="G15" s="65">
        <f t="shared" si="0"/>
        <v>1</v>
      </c>
      <c r="H15" s="108"/>
      <c r="I15" s="108"/>
      <c r="J15" s="109"/>
    </row>
  </sheetData>
  <mergeCells count="9">
    <mergeCell ref="H13:J13"/>
    <mergeCell ref="H14:J14"/>
    <mergeCell ref="H15:J15"/>
    <mergeCell ref="F8:G8"/>
    <mergeCell ref="H8:J8"/>
    <mergeCell ref="H9:J9"/>
    <mergeCell ref="H10:J10"/>
    <mergeCell ref="H11:J11"/>
    <mergeCell ref="H12:J12"/>
  </mergeCells>
  <conditionalFormatting sqref="G9:G15">
    <cfRule type="iconSet" priority="1">
      <iconSet iconSet="4Arrows" showValue="0" reverse="1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autoPict="0">
                <anchor moveWithCells="1">
                  <from>
                    <xdr:col>6</xdr:col>
                    <xdr:colOff>167640</xdr:colOff>
                    <xdr:row>0</xdr:row>
                    <xdr:rowOff>91440</xdr:rowOff>
                  </from>
                  <to>
                    <xdr:col>8</xdr:col>
                    <xdr:colOff>76200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Option Button 2">
              <controlPr defaultSize="0" autoFill="0" autoLine="0" autoPict="0">
                <anchor moveWithCells="1">
                  <from>
                    <xdr:col>2</xdr:col>
                    <xdr:colOff>160020</xdr:colOff>
                    <xdr:row>5</xdr:row>
                    <xdr:rowOff>152400</xdr:rowOff>
                  </from>
                  <to>
                    <xdr:col>2</xdr:col>
                    <xdr:colOff>335280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Option Button 3">
              <controlPr defaultSize="0" autoFill="0" autoLine="0" autoPict="0">
                <anchor moveWithCells="1">
                  <from>
                    <xdr:col>3</xdr:col>
                    <xdr:colOff>510540</xdr:colOff>
                    <xdr:row>5</xdr:row>
                    <xdr:rowOff>160020</xdr:rowOff>
                  </from>
                  <to>
                    <xdr:col>3</xdr:col>
                    <xdr:colOff>685800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Option Button 4">
              <controlPr defaultSize="0" autoFill="0" autoLine="0" autoPict="0">
                <anchor moveWithCells="1">
                  <from>
                    <xdr:col>4</xdr:col>
                    <xdr:colOff>236220</xdr:colOff>
                    <xdr:row>5</xdr:row>
                    <xdr:rowOff>160020</xdr:rowOff>
                  </from>
                  <to>
                    <xdr:col>4</xdr:col>
                    <xdr:colOff>411480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Option Button 5">
              <controlPr defaultSize="0" autoFill="0" autoLine="0" autoPict="0">
                <anchor moveWithCells="1">
                  <from>
                    <xdr:col>5</xdr:col>
                    <xdr:colOff>335280</xdr:colOff>
                    <xdr:row>5</xdr:row>
                    <xdr:rowOff>167640</xdr:rowOff>
                  </from>
                  <to>
                    <xdr:col>5</xdr:col>
                    <xdr:colOff>510540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7D5E31ED-71F7-4AD0-BB5B-369E4146173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caluculation!$C$26:$N$26</xm:f>
              <xm:sqref>H9</xm:sqref>
            </x14:sparkline>
            <x14:sparkline>
              <xm:f>caluculation!$C$27:$N$27</xm:f>
              <xm:sqref>H10</xm:sqref>
            </x14:sparkline>
            <x14:sparkline>
              <xm:f>caluculation!$C$28:$N$28</xm:f>
              <xm:sqref>H11</xm:sqref>
            </x14:sparkline>
            <x14:sparkline>
              <xm:f>caluculation!$C$29:$N$29</xm:f>
              <xm:sqref>H12</xm:sqref>
            </x14:sparkline>
            <x14:sparkline>
              <xm:f>caluculation!$C$30:$N$30</xm:f>
              <xm:sqref>H13</xm:sqref>
            </x14:sparkline>
            <x14:sparkline>
              <xm:f>caluculation!$C$31:$N$31</xm:f>
              <xm:sqref>H14</xm:sqref>
            </x14:sparkline>
            <x14:sparkline>
              <xm:f>caluculation!$C$32:$N$32</xm:f>
              <xm:sqref>H15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482B3-EAE5-4A74-952D-65A3B066271B}">
  <sheetPr codeName="Sheet6"/>
  <dimension ref="B1:AZ138"/>
  <sheetViews>
    <sheetView topLeftCell="A13" zoomScale="70" zoomScaleNormal="70" workbookViewId="0">
      <selection activeCell="B15" sqref="B15:B21"/>
    </sheetView>
  </sheetViews>
  <sheetFormatPr defaultRowHeight="14.4" x14ac:dyDescent="0.3"/>
  <cols>
    <col min="2" max="2" width="31.109375" bestFit="1" customWidth="1"/>
    <col min="3" max="3" width="12.88671875" bestFit="1" customWidth="1"/>
    <col min="4" max="4" width="18.33203125" bestFit="1" customWidth="1"/>
    <col min="5" max="5" width="11.33203125" bestFit="1" customWidth="1"/>
    <col min="6" max="6" width="13.33203125" bestFit="1" customWidth="1"/>
    <col min="7" max="7" width="9.5546875" customWidth="1"/>
    <col min="9" max="9" width="12.6640625" bestFit="1" customWidth="1"/>
    <col min="10" max="10" width="13.44140625" bestFit="1" customWidth="1"/>
    <col min="11" max="11" width="9" customWidth="1"/>
    <col min="12" max="12" width="12.6640625" bestFit="1" customWidth="1"/>
    <col min="13" max="13" width="9.33203125" customWidth="1"/>
    <col min="14" max="14" width="18.33203125" bestFit="1" customWidth="1"/>
    <col min="15" max="15" width="11.33203125" bestFit="1" customWidth="1"/>
    <col min="16" max="16" width="13.33203125" bestFit="1" customWidth="1"/>
    <col min="18" max="18" width="13.5546875" bestFit="1" customWidth="1"/>
    <col min="19" max="19" width="13.6640625" customWidth="1"/>
    <col min="20" max="20" width="16" customWidth="1"/>
    <col min="21" max="21" width="12.6640625" customWidth="1"/>
  </cols>
  <sheetData>
    <row r="1" spans="2:21" x14ac:dyDescent="0.3">
      <c r="B1" t="s">
        <v>6</v>
      </c>
      <c r="C1" t="s">
        <v>7</v>
      </c>
      <c r="K1" s="21">
        <f>VLOOKUP(B2,M1:N12,2,1)</f>
        <v>44409</v>
      </c>
      <c r="M1">
        <v>1</v>
      </c>
      <c r="N1" s="21">
        <v>44197</v>
      </c>
      <c r="P1" s="16" t="s">
        <v>8</v>
      </c>
      <c r="S1" s="21">
        <f>K1</f>
        <v>44409</v>
      </c>
      <c r="T1" s="21" t="s">
        <v>9</v>
      </c>
      <c r="U1" s="21" t="s">
        <v>10</v>
      </c>
    </row>
    <row r="2" spans="2:21" x14ac:dyDescent="0.3">
      <c r="B2">
        <v>8</v>
      </c>
      <c r="C2">
        <v>1</v>
      </c>
      <c r="M2">
        <v>2</v>
      </c>
      <c r="N2" s="21">
        <v>44228</v>
      </c>
      <c r="P2" s="3" t="s">
        <v>11</v>
      </c>
      <c r="S2">
        <f t="shared" ref="S2:U6" si="0">_xlfn.XLOOKUP($S$1,$Q$38:$AZ$38,Q39:AZ39)</f>
        <v>0</v>
      </c>
      <c r="T2">
        <f t="shared" si="0"/>
        <v>0</v>
      </c>
      <c r="U2" s="31" t="e">
        <f t="shared" si="0"/>
        <v>#DIV/0!</v>
      </c>
    </row>
    <row r="3" spans="2:21" x14ac:dyDescent="0.3">
      <c r="M3">
        <v>3</v>
      </c>
      <c r="N3" s="21">
        <v>44256</v>
      </c>
      <c r="P3" s="3" t="s">
        <v>12</v>
      </c>
      <c r="S3">
        <f t="shared" si="0"/>
        <v>0</v>
      </c>
      <c r="T3">
        <f t="shared" si="0"/>
        <v>0</v>
      </c>
      <c r="U3" s="31" t="e">
        <f t="shared" si="0"/>
        <v>#DIV/0!</v>
      </c>
    </row>
    <row r="4" spans="2:21" x14ac:dyDescent="0.3">
      <c r="M4">
        <v>4</v>
      </c>
      <c r="N4" s="21">
        <v>44287</v>
      </c>
      <c r="P4" s="3" t="s">
        <v>13</v>
      </c>
      <c r="S4">
        <f t="shared" si="0"/>
        <v>0</v>
      </c>
      <c r="T4">
        <f t="shared" si="0"/>
        <v>0</v>
      </c>
      <c r="U4" s="31" t="e">
        <f t="shared" si="0"/>
        <v>#DIV/0!</v>
      </c>
    </row>
    <row r="5" spans="2:21" x14ac:dyDescent="0.3">
      <c r="M5">
        <v>5</v>
      </c>
      <c r="N5" s="21">
        <v>44317</v>
      </c>
      <c r="P5" s="3" t="s">
        <v>14</v>
      </c>
      <c r="S5">
        <f t="shared" si="0"/>
        <v>0</v>
      </c>
      <c r="T5">
        <f t="shared" si="0"/>
        <v>0</v>
      </c>
      <c r="U5" s="31" t="e">
        <f t="shared" si="0"/>
        <v>#DIV/0!</v>
      </c>
    </row>
    <row r="6" spans="2:21" x14ac:dyDescent="0.3">
      <c r="M6">
        <v>6</v>
      </c>
      <c r="N6" s="21">
        <v>44348</v>
      </c>
      <c r="P6" s="3" t="s">
        <v>15</v>
      </c>
      <c r="S6">
        <f t="shared" si="0"/>
        <v>0</v>
      </c>
      <c r="T6">
        <f t="shared" si="0"/>
        <v>0</v>
      </c>
      <c r="U6" s="31" t="e">
        <f t="shared" si="0"/>
        <v>#DIV/0!</v>
      </c>
    </row>
    <row r="7" spans="2:21" x14ac:dyDescent="0.3">
      <c r="M7">
        <v>7</v>
      </c>
      <c r="N7" s="21">
        <v>44378</v>
      </c>
      <c r="P7" s="3" t="s">
        <v>16</v>
      </c>
    </row>
    <row r="8" spans="2:21" x14ac:dyDescent="0.3">
      <c r="B8" t="s">
        <v>17</v>
      </c>
      <c r="C8">
        <f>SUMIF(Table1[Month2],TRUE,Table1[WL])</f>
        <v>0</v>
      </c>
      <c r="M8">
        <v>8</v>
      </c>
      <c r="N8" s="21">
        <v>44409</v>
      </c>
      <c r="P8" s="26" t="s">
        <v>18</v>
      </c>
    </row>
    <row r="9" spans="2:21" x14ac:dyDescent="0.3">
      <c r="M9">
        <v>9</v>
      </c>
      <c r="N9" s="21">
        <v>44440</v>
      </c>
    </row>
    <row r="10" spans="2:21" x14ac:dyDescent="0.3">
      <c r="M10">
        <v>10</v>
      </c>
      <c r="N10" s="21">
        <v>44470</v>
      </c>
    </row>
    <row r="11" spans="2:21" x14ac:dyDescent="0.3">
      <c r="M11">
        <v>11</v>
      </c>
      <c r="N11" s="21">
        <v>44501</v>
      </c>
    </row>
    <row r="12" spans="2:21" x14ac:dyDescent="0.3">
      <c r="M12">
        <v>12</v>
      </c>
      <c r="N12" s="21">
        <v>44531</v>
      </c>
    </row>
    <row r="13" spans="2:21" ht="15" thickBot="1" x14ac:dyDescent="0.35"/>
    <row r="14" spans="2:21" ht="15" thickBot="1" x14ac:dyDescent="0.35">
      <c r="B14" s="27" t="s">
        <v>0</v>
      </c>
      <c r="C14" s="33" t="s">
        <v>9</v>
      </c>
      <c r="D14" s="33" t="s">
        <v>19</v>
      </c>
      <c r="E14" s="32" t="s">
        <v>3</v>
      </c>
      <c r="F14" s="32" t="s">
        <v>4</v>
      </c>
      <c r="H14" t="s">
        <v>20</v>
      </c>
      <c r="L14" s="27" t="s">
        <v>0</v>
      </c>
      <c r="M14" s="33" t="s">
        <v>9</v>
      </c>
      <c r="N14" s="33" t="s">
        <v>19</v>
      </c>
      <c r="O14" s="32" t="s">
        <v>3</v>
      </c>
      <c r="P14" s="32" t="s">
        <v>4</v>
      </c>
    </row>
    <row r="15" spans="2:21" ht="15" thickBot="1" x14ac:dyDescent="0.35">
      <c r="B15" s="30" t="s">
        <v>75</v>
      </c>
      <c r="C15" s="34">
        <f>SUMIFS(Table1[WL],Table1[Month2],TRUE,Table1[Employee],$B15)</f>
        <v>0</v>
      </c>
      <c r="D15" s="28">
        <f>COUNTIFS(Table1[Employee],caluculation!B15,Table1[Month],$K$1)</f>
        <v>0</v>
      </c>
      <c r="E15" s="28">
        <f t="shared" ref="E15:E21" si="1">IF(C15&lt;160,160-C15,C15)</f>
        <v>160</v>
      </c>
      <c r="F15" s="35">
        <f>(E15/160)</f>
        <v>1</v>
      </c>
      <c r="H15" cm="1">
        <f t="array" ref="H15">INDEX($C$15:$F$21,ROWS($G$15:G15),$C$2)</f>
        <v>0</v>
      </c>
      <c r="I15" s="40">
        <f>H15+ROWS($H$15:H15)/100000</f>
        <v>1.0000000000000001E-5</v>
      </c>
      <c r="J15" s="40">
        <f>IF($C$2=3,SMALL($I$15:$I$21,ROWS($I$15:I15)),LARGE($I$15:$I$21,ROWS($I$15:I15)))</f>
        <v>6.9999999999999994E-5</v>
      </c>
      <c r="K15">
        <f>MATCH(J15,$I$15:$I$21,0)</f>
        <v>7</v>
      </c>
      <c r="L15" t="str" cm="1">
        <f t="array" ref="L15">INDEX($B$15:$B$21,K15)</f>
        <v>Agent7</v>
      </c>
      <c r="M15" cm="1">
        <f t="array" ref="M15">INDEX($C$15:$F$21,MATCH($L15,$B$15:$B$21,0),COLUMNS($L$15:L15))</f>
        <v>0</v>
      </c>
      <c r="N15" cm="1">
        <f t="array" ref="N15">INDEX($C$15:$F$21,MATCH($L15,$B$15:$B$21,0),COLUMNS($L$15:M15))</f>
        <v>0</v>
      </c>
      <c r="O15" cm="1">
        <f t="array" ref="O15">INDEX($C$15:$F$21,MATCH($L15,$B$15:$B$21,0),COLUMNS($L$15:N15))</f>
        <v>160</v>
      </c>
      <c r="P15" s="31" cm="1">
        <f t="array" ref="P15">INDEX($C$15:$F$21,MATCH($L15,$B$15:$B$21,0),COLUMNS($L$15:O15))</f>
        <v>1</v>
      </c>
    </row>
    <row r="16" spans="2:21" ht="15" thickBot="1" x14ac:dyDescent="0.35">
      <c r="B16" s="30" t="s">
        <v>76</v>
      </c>
      <c r="C16" s="36">
        <f>SUMIFS(Table1[WL],Table1[Month2],TRUE,Table1[Employee],$B16)</f>
        <v>0</v>
      </c>
      <c r="D16" s="25">
        <f>COUNTIFS(Table1[Employee],caluculation!B16,Table1[Month],$K$1)</f>
        <v>0</v>
      </c>
      <c r="E16" s="25">
        <f t="shared" si="1"/>
        <v>160</v>
      </c>
      <c r="F16" s="37">
        <f t="shared" ref="F16:F21" si="2">(E16/160)</f>
        <v>1</v>
      </c>
      <c r="H16" cm="1">
        <f t="array" ref="H16">INDEX($C$15:$F$21,ROWS($G$15:G16),$C$2)</f>
        <v>0</v>
      </c>
      <c r="I16" s="40">
        <f>H16+ROWS($H$15:H16)/100000</f>
        <v>2.0000000000000002E-5</v>
      </c>
      <c r="J16" s="40">
        <f>IF($C$2=3,SMALL($I$15:$I$21,ROWS($I$15:I16)),LARGE($I$15:$I$21,ROWS($I$15:I16)))</f>
        <v>6.0000000000000002E-5</v>
      </c>
      <c r="K16">
        <f t="shared" ref="K16:K21" si="3">MATCH(J16,$I$15:$I$21,0)</f>
        <v>6</v>
      </c>
      <c r="L16" t="str" cm="1">
        <f t="array" ref="L16">INDEX($B$15:$B$21,K16)</f>
        <v>Agent6</v>
      </c>
      <c r="M16" cm="1">
        <f t="array" ref="M16">INDEX($C$15:$F$21,MATCH($L16,$B$15:$B$21,0),COLUMNS($L$15:L16))</f>
        <v>0</v>
      </c>
      <c r="N16" cm="1">
        <f t="array" ref="N16">INDEX($C$15:$F$21,MATCH($L16,$B$15:$B$21,0),COLUMNS($L$15:M16))</f>
        <v>0</v>
      </c>
      <c r="O16" cm="1">
        <f t="array" ref="O16">INDEX($C$15:$F$21,MATCH($L16,$B$15:$B$21,0),COLUMNS($L$15:N16))</f>
        <v>160</v>
      </c>
      <c r="P16" s="31" cm="1">
        <f t="array" ref="P16">INDEX($C$15:$F$21,MATCH($L16,$B$15:$B$21,0),COLUMNS($L$15:O16))</f>
        <v>1</v>
      </c>
    </row>
    <row r="17" spans="2:19" ht="15" thickBot="1" x14ac:dyDescent="0.35">
      <c r="B17" s="30" t="s">
        <v>77</v>
      </c>
      <c r="C17" s="36">
        <f>SUMIFS(Table1[WL],Table1[Month2],TRUE,Table1[Employee],$B17)</f>
        <v>0</v>
      </c>
      <c r="D17" s="25">
        <f>COUNTIFS(Table1[Employee],caluculation!B17,Table1[Month],$K$1)</f>
        <v>0</v>
      </c>
      <c r="E17" s="25">
        <f t="shared" si="1"/>
        <v>160</v>
      </c>
      <c r="F17" s="37">
        <f t="shared" si="2"/>
        <v>1</v>
      </c>
      <c r="H17" cm="1">
        <f t="array" ref="H17">INDEX($C$15:$F$21,ROWS($G$15:G17),$C$2)</f>
        <v>0</v>
      </c>
      <c r="I17" s="40">
        <f>H17+ROWS($H$15:H17)/100000</f>
        <v>3.0000000000000001E-5</v>
      </c>
      <c r="J17" s="40">
        <f>IF($C$2=3,SMALL($I$15:$I$21,ROWS($I$15:I17)),LARGE($I$15:$I$21,ROWS($I$15:I17)))</f>
        <v>5.0000000000000002E-5</v>
      </c>
      <c r="K17">
        <f t="shared" si="3"/>
        <v>5</v>
      </c>
      <c r="L17" t="str" cm="1">
        <f t="array" ref="L17">INDEX($B$15:$B$21,K17)</f>
        <v>Agent5</v>
      </c>
      <c r="M17" cm="1">
        <f t="array" ref="M17">INDEX($C$15:$F$21,MATCH($L17,$B$15:$B$21,0),COLUMNS($L$15:L17))</f>
        <v>0</v>
      </c>
      <c r="N17" cm="1">
        <f t="array" ref="N17">INDEX($C$15:$F$21,MATCH($L17,$B$15:$B$21,0),COLUMNS($L$15:M17))</f>
        <v>0</v>
      </c>
      <c r="O17" cm="1">
        <f t="array" ref="O17">INDEX($C$15:$F$21,MATCH($L17,$B$15:$B$21,0),COLUMNS($L$15:N17))</f>
        <v>160</v>
      </c>
      <c r="P17" s="31" cm="1">
        <f t="array" ref="P17">INDEX($C$15:$F$21,MATCH($L17,$B$15:$B$21,0),COLUMNS($L$15:O17))</f>
        <v>1</v>
      </c>
    </row>
    <row r="18" spans="2:19" ht="15" thickBot="1" x14ac:dyDescent="0.35">
      <c r="B18" s="30" t="s">
        <v>78</v>
      </c>
      <c r="C18" s="36">
        <f>SUMIFS(Table1[WL],Table1[Month2],TRUE,Table1[Employee],$B18)</f>
        <v>0</v>
      </c>
      <c r="D18" s="25">
        <f>COUNTIFS(Table1[Employee],caluculation!B18,Table1[Month],$K$1)</f>
        <v>0</v>
      </c>
      <c r="E18" s="25">
        <f t="shared" si="1"/>
        <v>160</v>
      </c>
      <c r="F18" s="37">
        <f t="shared" si="2"/>
        <v>1</v>
      </c>
      <c r="H18" cm="1">
        <f t="array" ref="H18">INDEX($C$15:$F$21,ROWS($G$15:G18),$C$2)</f>
        <v>0</v>
      </c>
      <c r="I18" s="40">
        <f>H18+ROWS($H$15:H18)/100000</f>
        <v>4.0000000000000003E-5</v>
      </c>
      <c r="J18" s="40">
        <f>IF($C$2=3,SMALL($I$15:$I$21,ROWS($I$15:I18)),LARGE($I$15:$I$21,ROWS($I$15:I18)))</f>
        <v>4.0000000000000003E-5</v>
      </c>
      <c r="K18">
        <f t="shared" si="3"/>
        <v>4</v>
      </c>
      <c r="L18" t="str" cm="1">
        <f t="array" ref="L18">INDEX($B$15:$B$21,K18)</f>
        <v>Agent4</v>
      </c>
      <c r="M18" cm="1">
        <f t="array" ref="M18">INDEX($C$15:$F$21,MATCH($L18,$B$15:$B$21,0),COLUMNS($L$15:L18))</f>
        <v>0</v>
      </c>
      <c r="N18" cm="1">
        <f t="array" ref="N18">INDEX($C$15:$F$21,MATCH($L18,$B$15:$B$21,0),COLUMNS($L$15:M18))</f>
        <v>0</v>
      </c>
      <c r="O18" cm="1">
        <f t="array" ref="O18">INDEX($C$15:$F$21,MATCH($L18,$B$15:$B$21,0),COLUMNS($L$15:N18))</f>
        <v>160</v>
      </c>
      <c r="P18" s="31" cm="1">
        <f t="array" ref="P18">INDEX($C$15:$F$21,MATCH($L18,$B$15:$B$21,0),COLUMNS($L$15:O18))</f>
        <v>1</v>
      </c>
    </row>
    <row r="19" spans="2:19" ht="15" thickBot="1" x14ac:dyDescent="0.35">
      <c r="B19" s="30" t="s">
        <v>79</v>
      </c>
      <c r="C19" s="36">
        <f>SUMIFS(Table1[WL],Table1[Month2],TRUE,Table1[Employee],$B19)</f>
        <v>0</v>
      </c>
      <c r="D19" s="25">
        <f>COUNTIFS(Table1[Employee],caluculation!B19,Table1[Month],$K$1)</f>
        <v>0</v>
      </c>
      <c r="E19" s="25">
        <f t="shared" si="1"/>
        <v>160</v>
      </c>
      <c r="F19" s="37">
        <f t="shared" si="2"/>
        <v>1</v>
      </c>
      <c r="H19" cm="1">
        <f t="array" ref="H19">INDEX($C$15:$F$21,ROWS($G$15:G19),$C$2)</f>
        <v>0</v>
      </c>
      <c r="I19">
        <f>H19+ROWS($H$15:H19)/100000</f>
        <v>5.0000000000000002E-5</v>
      </c>
      <c r="J19">
        <f>IF($C$2=3,SMALL($I$15:$I$21,ROWS($I$15:I19)),LARGE($I$15:$I$21,ROWS($I$15:I19)))</f>
        <v>3.0000000000000001E-5</v>
      </c>
      <c r="K19">
        <f t="shared" si="3"/>
        <v>3</v>
      </c>
      <c r="L19" t="str" cm="1">
        <f t="array" ref="L19">INDEX($B$15:$B$21,K19)</f>
        <v>Agent3</v>
      </c>
      <c r="M19" cm="1">
        <f t="array" ref="M19">INDEX($C$15:$F$21,MATCH($L19,$B$15:$B$21,0),COLUMNS($L$15:L19))</f>
        <v>0</v>
      </c>
      <c r="N19" cm="1">
        <f t="array" ref="N19">INDEX($C$15:$F$21,MATCH($L19,$B$15:$B$21,0),COLUMNS($L$15:M19))</f>
        <v>0</v>
      </c>
      <c r="O19" cm="1">
        <f t="array" ref="O19">INDEX($C$15:$F$21,MATCH($L19,$B$15:$B$21,0),COLUMNS($L$15:N19))</f>
        <v>160</v>
      </c>
      <c r="P19" s="31" cm="1">
        <f t="array" ref="P19">INDEX($C$15:$F$21,MATCH($L19,$B$15:$B$21,0),COLUMNS($L$15:O19))</f>
        <v>1</v>
      </c>
    </row>
    <row r="20" spans="2:19" ht="15" thickBot="1" x14ac:dyDescent="0.35">
      <c r="B20" s="30" t="s">
        <v>80</v>
      </c>
      <c r="C20" s="36">
        <f>SUMIFS(Table1[WL],Table1[Month2],TRUE,Table1[Employee],$B20)</f>
        <v>0</v>
      </c>
      <c r="D20" s="25">
        <f>COUNTIFS(Table1[Employee],caluculation!B20,Table1[Month],$K$1)</f>
        <v>0</v>
      </c>
      <c r="E20" s="25">
        <f t="shared" si="1"/>
        <v>160</v>
      </c>
      <c r="F20" s="37">
        <f t="shared" si="2"/>
        <v>1</v>
      </c>
      <c r="H20" cm="1">
        <f t="array" ref="H20">INDEX($C$15:$F$21,ROWS($G$15:G20),$C$2)</f>
        <v>0</v>
      </c>
      <c r="I20">
        <f>H20+ROWS($H$15:H20)/100000</f>
        <v>6.0000000000000002E-5</v>
      </c>
      <c r="J20">
        <f>IF($C$2=3,SMALL($I$15:$I$21,ROWS($I$15:I20)),LARGE($I$15:$I$21,ROWS($I$15:I20)))</f>
        <v>2.0000000000000002E-5</v>
      </c>
      <c r="K20">
        <f t="shared" si="3"/>
        <v>2</v>
      </c>
      <c r="L20" t="str" cm="1">
        <f t="array" ref="L20">INDEX($B$15:$B$21,K20)</f>
        <v>Agent2</v>
      </c>
      <c r="M20" cm="1">
        <f t="array" ref="M20">INDEX($C$15:$F$21,MATCH($L20,$B$15:$B$21,0),COLUMNS($L$15:L20))</f>
        <v>0</v>
      </c>
      <c r="N20" cm="1">
        <f t="array" ref="N20">INDEX($C$15:$F$21,MATCH($L20,$B$15:$B$21,0),COLUMNS($L$15:M20))</f>
        <v>0</v>
      </c>
      <c r="O20" cm="1">
        <f t="array" ref="O20">INDEX($C$15:$F$21,MATCH($L20,$B$15:$B$21,0),COLUMNS($L$15:N20))</f>
        <v>160</v>
      </c>
      <c r="P20" s="31" cm="1">
        <f t="array" ref="P20">INDEX($C$15:$F$21,MATCH($L20,$B$15:$B$21,0),COLUMNS($L$15:O20))</f>
        <v>1</v>
      </c>
    </row>
    <row r="21" spans="2:19" ht="15" thickBot="1" x14ac:dyDescent="0.35">
      <c r="B21" s="30" t="s">
        <v>81</v>
      </c>
      <c r="C21" s="38">
        <f>SUMIFS(Table1[WL],Table1[Month2],TRUE,Table1[Employee],$B21)</f>
        <v>0</v>
      </c>
      <c r="D21" s="29">
        <f>COUNTIFS(Table1[Employee],caluculation!B21,Table1[Month],$K$1)</f>
        <v>0</v>
      </c>
      <c r="E21" s="29">
        <f t="shared" si="1"/>
        <v>160</v>
      </c>
      <c r="F21" s="39">
        <f t="shared" si="2"/>
        <v>1</v>
      </c>
      <c r="H21" cm="1">
        <f t="array" ref="H21">INDEX($C$15:$F$21,ROWS($G$15:G21),$C$2)</f>
        <v>0</v>
      </c>
      <c r="I21">
        <f>H21+ROWS($H$15:H21)/100000</f>
        <v>6.9999999999999994E-5</v>
      </c>
      <c r="J21">
        <f>IF($C$2=3,SMALL($I$15:$I$21,ROWS($I$15:I21)),LARGE($I$15:$I$21,ROWS($I$15:I21)))</f>
        <v>1.0000000000000001E-5</v>
      </c>
      <c r="K21">
        <f t="shared" si="3"/>
        <v>1</v>
      </c>
      <c r="L21" t="str" cm="1">
        <f t="array" ref="L21">INDEX($B$15:$B$21,K21)</f>
        <v>Agent1</v>
      </c>
      <c r="M21" cm="1">
        <f t="array" ref="M21">INDEX($C$15:$F$21,MATCH($L21,$B$15:$B$21,0),COLUMNS($L$15:L21))</f>
        <v>0</v>
      </c>
      <c r="N21" cm="1">
        <f t="array" ref="N21">INDEX($C$15:$F$21,MATCH($L21,$B$15:$B$21,0),COLUMNS($L$15:M21))</f>
        <v>0</v>
      </c>
      <c r="O21" cm="1">
        <f t="array" ref="O21">INDEX($C$15:$F$21,MATCH($L21,$B$15:$B$21,0),COLUMNS($L$15:N21))</f>
        <v>160</v>
      </c>
      <c r="P21" s="31" cm="1">
        <f t="array" ref="P21">INDEX($C$15:$F$21,MATCH($L21,$B$15:$B$21,0),COLUMNS($L$15:O21))</f>
        <v>1</v>
      </c>
    </row>
    <row r="24" spans="2:19" ht="15" thickBot="1" x14ac:dyDescent="0.35"/>
    <row r="25" spans="2:19" ht="15" thickBot="1" x14ac:dyDescent="0.35">
      <c r="B25" s="27" t="s">
        <v>0</v>
      </c>
      <c r="C25" s="41">
        <v>44197</v>
      </c>
      <c r="D25" s="41">
        <v>44228</v>
      </c>
      <c r="E25" s="41">
        <v>44256</v>
      </c>
      <c r="F25" s="41">
        <v>44287</v>
      </c>
      <c r="G25" s="41">
        <v>44317</v>
      </c>
      <c r="H25" s="41">
        <v>44348</v>
      </c>
      <c r="I25" s="41">
        <v>44378</v>
      </c>
      <c r="J25" s="41">
        <v>44409</v>
      </c>
      <c r="K25" s="41">
        <v>44440</v>
      </c>
      <c r="L25" s="41">
        <v>44470</v>
      </c>
      <c r="M25" s="41">
        <v>44501</v>
      </c>
      <c r="N25" s="41">
        <v>44531</v>
      </c>
    </row>
    <row r="26" spans="2:19" ht="15" thickBot="1" x14ac:dyDescent="0.35">
      <c r="B26" s="30" t="str">
        <f>L15</f>
        <v>Agent7</v>
      </c>
      <c r="C26" s="42">
        <f>SUMIFS(Table1[WL],Table1[Month],C$25,Table1[Employee],$B26)</f>
        <v>0</v>
      </c>
      <c r="D26" s="43">
        <f>SUMIFS(Table1[WL],Table1[Month],D$25,Table1[Employee],$B26)</f>
        <v>0</v>
      </c>
      <c r="E26" s="43">
        <f>SUMIFS(Table1[WL],Table1[Month],E$25,Table1[Employee],$B26)</f>
        <v>0</v>
      </c>
      <c r="F26" s="43">
        <f>SUMIFS(Table1[WL],Table1[Month],F$25,Table1[Employee],$B26)</f>
        <v>0</v>
      </c>
      <c r="G26" s="43">
        <f>SUMIFS(Table1[WL],Table1[Month],G$25,Table1[Employee],$B26)</f>
        <v>0</v>
      </c>
      <c r="H26" s="43">
        <f>SUMIFS(Table1[WL],Table1[Month],H$25,Table1[Employee],$B26)</f>
        <v>0</v>
      </c>
      <c r="I26" s="43">
        <f>SUMIFS(Table1[WL],Table1[Month],I$25,Table1[Employee],$B26)</f>
        <v>0</v>
      </c>
      <c r="J26" s="43">
        <f>SUMIFS(Table1[WL],Table1[Month],J$25,Table1[Employee],$B26)</f>
        <v>0</v>
      </c>
      <c r="K26" s="43">
        <f>SUMIFS(Table1[WL],Table1[Month],K$25,Table1[Employee],$B26)</f>
        <v>0</v>
      </c>
      <c r="L26" s="43">
        <f>SUMIFS(Table1[WL],Table1[Month],L$25,Table1[Employee],$B26)</f>
        <v>0</v>
      </c>
      <c r="M26" s="43">
        <f>SUMIFS(Table1[WL],Table1[Month],M$25,Table1[Employee],$B26)</f>
        <v>0</v>
      </c>
      <c r="N26" s="44">
        <f>SUMIFS(Table1[WL],Table1[Month],N$25,Table1[Employee],$B26)</f>
        <v>0</v>
      </c>
    </row>
    <row r="27" spans="2:19" ht="15" thickBot="1" x14ac:dyDescent="0.35">
      <c r="B27" s="30" t="str">
        <f t="shared" ref="B27:B32" si="4">L16</f>
        <v>Agent6</v>
      </c>
      <c r="C27" s="45">
        <f>SUMIFS(Table1[WL],Table1[Month],C$25,Table1[Employee],$B27)</f>
        <v>0</v>
      </c>
      <c r="D27" s="46">
        <f>SUMIFS(Table1[WL],Table1[Month],D$25,Table1[Employee],$B27)</f>
        <v>0</v>
      </c>
      <c r="E27" s="46">
        <f>SUMIFS(Table1[WL],Table1[Month],E$25,Table1[Employee],$B27)</f>
        <v>0</v>
      </c>
      <c r="F27" s="46">
        <f>SUMIFS(Table1[WL],Table1[Month],F$25,Table1[Employee],$B27)</f>
        <v>0</v>
      </c>
      <c r="G27" s="46">
        <f>SUMIFS(Table1[WL],Table1[Month],G$25,Table1[Employee],$B27)</f>
        <v>0</v>
      </c>
      <c r="H27" s="46">
        <f>SUMIFS(Table1[WL],Table1[Month],H$25,Table1[Employee],$B27)</f>
        <v>0</v>
      </c>
      <c r="I27" s="46">
        <f>SUMIFS(Table1[WL],Table1[Month],I$25,Table1[Employee],$B27)</f>
        <v>0</v>
      </c>
      <c r="J27" s="46">
        <f>SUMIFS(Table1[WL],Table1[Month],J$25,Table1[Employee],$B27)</f>
        <v>0</v>
      </c>
      <c r="K27" s="46">
        <f>SUMIFS(Table1[WL],Table1[Month],K$25,Table1[Employee],$B27)</f>
        <v>0</v>
      </c>
      <c r="L27" s="46">
        <f>SUMIFS(Table1[WL],Table1[Month],L$25,Table1[Employee],$B27)</f>
        <v>0</v>
      </c>
      <c r="M27" s="46">
        <f>SUMIFS(Table1[WL],Table1[Month],M$25,Table1[Employee],$B27)</f>
        <v>0</v>
      </c>
      <c r="N27" s="47">
        <f>SUMIFS(Table1[WL],Table1[Month],N$25,Table1[Employee],$B27)</f>
        <v>0</v>
      </c>
      <c r="R27" s="113" t="s">
        <v>21</v>
      </c>
      <c r="S27" s="114"/>
    </row>
    <row r="28" spans="2:19" ht="15" thickBot="1" x14ac:dyDescent="0.35">
      <c r="B28" s="30" t="str">
        <f t="shared" si="4"/>
        <v>Agent5</v>
      </c>
      <c r="C28" s="45">
        <f>SUMIFS(Table1[WL],Table1[Month],C$25,Table1[Employee],$B28)</f>
        <v>0</v>
      </c>
      <c r="D28" s="46">
        <f>SUMIFS(Table1[WL],Table1[Month],D$25,Table1[Employee],$B28)</f>
        <v>0</v>
      </c>
      <c r="E28" s="46">
        <f>SUMIFS(Table1[WL],Table1[Month],E$25,Table1[Employee],$B28)</f>
        <v>0</v>
      </c>
      <c r="F28" s="46">
        <f>SUMIFS(Table1[WL],Table1[Month],F$25,Table1[Employee],$B28)</f>
        <v>0</v>
      </c>
      <c r="G28" s="46">
        <f>SUMIFS(Table1[WL],Table1[Month],G$25,Table1[Employee],$B28)</f>
        <v>0</v>
      </c>
      <c r="H28" s="46">
        <f>SUMIFS(Table1[WL],Table1[Month],H$25,Table1[Employee],$B28)</f>
        <v>0</v>
      </c>
      <c r="I28" s="46">
        <f>SUMIFS(Table1[WL],Table1[Month],I$25,Table1[Employee],$B28)</f>
        <v>0</v>
      </c>
      <c r="J28" s="46">
        <f>SUMIFS(Table1[WL],Table1[Month],J$25,Table1[Employee],$B28)</f>
        <v>0</v>
      </c>
      <c r="K28" s="46">
        <f>SUMIFS(Table1[WL],Table1[Month],K$25,Table1[Employee],$B28)</f>
        <v>0</v>
      </c>
      <c r="L28" s="46">
        <f>SUMIFS(Table1[WL],Table1[Month],L$25,Table1[Employee],$B28)</f>
        <v>0</v>
      </c>
      <c r="M28" s="46">
        <f>SUMIFS(Table1[WL],Table1[Month],M$25,Table1[Employee],$B28)</f>
        <v>0</v>
      </c>
      <c r="N28" s="47">
        <f>SUMIFS(Table1[WL],Table1[Month],N$25,Table1[Employee],$B28)</f>
        <v>0</v>
      </c>
      <c r="R28" s="66" t="s">
        <v>22</v>
      </c>
      <c r="S28" s="67">
        <f>SUM(C35:N35)</f>
        <v>0</v>
      </c>
    </row>
    <row r="29" spans="2:19" ht="15" thickBot="1" x14ac:dyDescent="0.35">
      <c r="B29" s="30" t="str">
        <f t="shared" si="4"/>
        <v>Agent4</v>
      </c>
      <c r="C29" s="45">
        <f>SUMIFS(Table1[WL],Table1[Month],C$25,Table1[Employee],$B29)</f>
        <v>0</v>
      </c>
      <c r="D29" s="46">
        <f>SUMIFS(Table1[WL],Table1[Month],D$25,Table1[Employee],$B29)</f>
        <v>0</v>
      </c>
      <c r="E29" s="46">
        <f>SUMIFS(Table1[WL],Table1[Month],E$25,Table1[Employee],$B29)</f>
        <v>0</v>
      </c>
      <c r="F29" s="46">
        <f>SUMIFS(Table1[WL],Table1[Month],F$25,Table1[Employee],$B29)</f>
        <v>0</v>
      </c>
      <c r="G29" s="46">
        <f>SUMIFS(Table1[WL],Table1[Month],G$25,Table1[Employee],$B29)</f>
        <v>0</v>
      </c>
      <c r="H29" s="46">
        <f>SUMIFS(Table1[WL],Table1[Month],H$25,Table1[Employee],$B29)</f>
        <v>0</v>
      </c>
      <c r="I29" s="46">
        <f>SUMIFS(Table1[WL],Table1[Month],I$25,Table1[Employee],$B29)</f>
        <v>0</v>
      </c>
      <c r="J29" s="46">
        <f>SUMIFS(Table1[WL],Table1[Month],J$25,Table1[Employee],$B29)</f>
        <v>0</v>
      </c>
      <c r="K29" s="46">
        <f>SUMIFS(Table1[WL],Table1[Month],K$25,Table1[Employee],$B29)</f>
        <v>0</v>
      </c>
      <c r="L29" s="46">
        <f>SUMIFS(Table1[WL],Table1[Month],L$25,Table1[Employee],$B29)</f>
        <v>0</v>
      </c>
      <c r="M29" s="46">
        <f>SUMIFS(Table1[WL],Table1[Month],M$25,Table1[Employee],$B29)</f>
        <v>0</v>
      </c>
      <c r="N29" s="47">
        <f>SUMIFS(Table1[WL],Table1[Month],N$25,Table1[Employee],$B29)</f>
        <v>0</v>
      </c>
      <c r="R29" s="68" t="s">
        <v>23</v>
      </c>
      <c r="S29" s="69">
        <f>SUM(C36:N36)</f>
        <v>0</v>
      </c>
    </row>
    <row r="30" spans="2:19" ht="15" thickBot="1" x14ac:dyDescent="0.35">
      <c r="B30" s="30" t="str">
        <f t="shared" si="4"/>
        <v>Agent3</v>
      </c>
      <c r="C30" s="45">
        <f>SUMIFS(Table1[WL],Table1[Month],C$25,Table1[Employee],$B30)</f>
        <v>0</v>
      </c>
      <c r="D30" s="46">
        <f>SUMIFS(Table1[WL],Table1[Month],D$25,Table1[Employee],$B30)</f>
        <v>0</v>
      </c>
      <c r="E30" s="46">
        <f>SUMIFS(Table1[WL],Table1[Month],E$25,Table1[Employee],$B30)</f>
        <v>0</v>
      </c>
      <c r="F30" s="46">
        <f>SUMIFS(Table1[WL],Table1[Month],F$25,Table1[Employee],$B30)</f>
        <v>0</v>
      </c>
      <c r="G30" s="46">
        <f>SUMIFS(Table1[WL],Table1[Month],G$25,Table1[Employee],$B30)</f>
        <v>0</v>
      </c>
      <c r="H30" s="46">
        <f>SUMIFS(Table1[WL],Table1[Month],H$25,Table1[Employee],$B30)</f>
        <v>0</v>
      </c>
      <c r="I30" s="46">
        <f>SUMIFS(Table1[WL],Table1[Month],I$25,Table1[Employee],$B30)</f>
        <v>0</v>
      </c>
      <c r="J30" s="46">
        <f>SUMIFS(Table1[WL],Table1[Month],J$25,Table1[Employee],$B30)</f>
        <v>0</v>
      </c>
      <c r="K30" s="46">
        <f>SUMIFS(Table1[WL],Table1[Month],K$25,Table1[Employee],$B30)</f>
        <v>0</v>
      </c>
      <c r="L30" s="46">
        <f>SUMIFS(Table1[WL],Table1[Month],L$25,Table1[Employee],$B30)</f>
        <v>0</v>
      </c>
      <c r="M30" s="46">
        <f>SUMIFS(Table1[WL],Table1[Month],M$25,Table1[Employee],$B30)</f>
        <v>0</v>
      </c>
      <c r="N30" s="47">
        <f>SUMIFS(Table1[WL],Table1[Month],N$25,Table1[Employee],$B30)</f>
        <v>0</v>
      </c>
    </row>
    <row r="31" spans="2:19" ht="15" thickBot="1" x14ac:dyDescent="0.35">
      <c r="B31" s="30" t="str">
        <f t="shared" si="4"/>
        <v>Agent2</v>
      </c>
      <c r="C31" s="45">
        <f>SUMIFS(Table1[WL],Table1[Month],C$25,Table1[Employee],$B31)</f>
        <v>0</v>
      </c>
      <c r="D31" s="46">
        <f>SUMIFS(Table1[WL],Table1[Month],D$25,Table1[Employee],$B31)</f>
        <v>0</v>
      </c>
      <c r="E31" s="46">
        <f>SUMIFS(Table1[WL],Table1[Month],E$25,Table1[Employee],$B31)</f>
        <v>0</v>
      </c>
      <c r="F31" s="46">
        <f>SUMIFS(Table1[WL],Table1[Month],F$25,Table1[Employee],$B31)</f>
        <v>0</v>
      </c>
      <c r="G31" s="46">
        <f>SUMIFS(Table1[WL],Table1[Month],G$25,Table1[Employee],$B31)</f>
        <v>0</v>
      </c>
      <c r="H31" s="46">
        <f>SUMIFS(Table1[WL],Table1[Month],H$25,Table1[Employee],$B31)</f>
        <v>0</v>
      </c>
      <c r="I31" s="46">
        <f>SUMIFS(Table1[WL],Table1[Month],I$25,Table1[Employee],$B31)</f>
        <v>0</v>
      </c>
      <c r="J31" s="46">
        <f>SUMIFS(Table1[WL],Table1[Month],J$25,Table1[Employee],$B31)</f>
        <v>0</v>
      </c>
      <c r="K31" s="46">
        <f>SUMIFS(Table1[WL],Table1[Month],K$25,Table1[Employee],$B31)</f>
        <v>0</v>
      </c>
      <c r="L31" s="46">
        <f>SUMIFS(Table1[WL],Table1[Month],L$25,Table1[Employee],$B31)</f>
        <v>0</v>
      </c>
      <c r="M31" s="46">
        <f>SUMIFS(Table1[WL],Table1[Month],M$25,Table1[Employee],$B31)</f>
        <v>0</v>
      </c>
      <c r="N31" s="47">
        <f>SUMIFS(Table1[WL],Table1[Month],N$25,Table1[Employee],$B31)</f>
        <v>0</v>
      </c>
    </row>
    <row r="32" spans="2:19" ht="15" thickBot="1" x14ac:dyDescent="0.35">
      <c r="B32" s="30" t="str">
        <f t="shared" si="4"/>
        <v>Agent1</v>
      </c>
      <c r="C32" s="48">
        <f>SUMIFS(Table1[WL],Table1[Month],C$25,Table1[Employee],$B32)</f>
        <v>0</v>
      </c>
      <c r="D32" s="49">
        <f>SUMIFS(Table1[WL],Table1[Month],D$25,Table1[Employee],$B32)</f>
        <v>0</v>
      </c>
      <c r="E32" s="49">
        <f>SUMIFS(Table1[WL],Table1[Month],E$25,Table1[Employee],$B32)</f>
        <v>0</v>
      </c>
      <c r="F32" s="49">
        <f>SUMIFS(Table1[WL],Table1[Month],F$25,Table1[Employee],$B32)</f>
        <v>0</v>
      </c>
      <c r="G32" s="49">
        <f>SUMIFS(Table1[WL],Table1[Month],G$25,Table1[Employee],$B32)</f>
        <v>0</v>
      </c>
      <c r="H32" s="49">
        <f>SUMIFS(Table1[WL],Table1[Month],H$25,Table1[Employee],$B32)</f>
        <v>0</v>
      </c>
      <c r="I32" s="49">
        <f>SUMIFS(Table1[WL],Table1[Month],I$25,Table1[Employee],$B32)</f>
        <v>0</v>
      </c>
      <c r="J32" s="49">
        <f>SUMIFS(Table1[WL],Table1[Month],J$25,Table1[Employee],$B32)</f>
        <v>0</v>
      </c>
      <c r="K32" s="49">
        <f>SUMIFS(Table1[WL],Table1[Month],K$25,Table1[Employee],$B32)</f>
        <v>0</v>
      </c>
      <c r="L32" s="49">
        <f>SUMIFS(Table1[WL],Table1[Month],L$25,Table1[Employee],$B32)</f>
        <v>0</v>
      </c>
      <c r="M32" s="49">
        <f>SUMIFS(Table1[WL],Table1[Month],M$25,Table1[Employee],$B32)</f>
        <v>0</v>
      </c>
      <c r="N32" s="50">
        <f>SUMIFS(Table1[WL],Table1[Month],N$25,Table1[Employee],$B32)</f>
        <v>0</v>
      </c>
    </row>
    <row r="33" spans="2:52" x14ac:dyDescent="0.3"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</row>
    <row r="34" spans="2:52" x14ac:dyDescent="0.3"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</row>
    <row r="35" spans="2:52" ht="15" thickBot="1" x14ac:dyDescent="0.35">
      <c r="B35" s="46"/>
      <c r="C35" s="46" t="str">
        <f>IF(C36=0," ",(160*6))</f>
        <v xml:space="preserve"> </v>
      </c>
      <c r="D35" s="46" t="str">
        <f t="shared" ref="D35:N35" si="5">IF(D36=0," ",(160*6))</f>
        <v xml:space="preserve"> </v>
      </c>
      <c r="E35" s="46" t="str">
        <f t="shared" si="5"/>
        <v xml:space="preserve"> </v>
      </c>
      <c r="F35" s="46" t="str">
        <f t="shared" si="5"/>
        <v xml:space="preserve"> </v>
      </c>
      <c r="G35" s="46" t="str">
        <f t="shared" si="5"/>
        <v xml:space="preserve"> </v>
      </c>
      <c r="H35" s="46" t="str">
        <f t="shared" si="5"/>
        <v xml:space="preserve"> </v>
      </c>
      <c r="I35" s="46" t="str">
        <f t="shared" si="5"/>
        <v xml:space="preserve"> </v>
      </c>
      <c r="J35" s="46" t="str">
        <f t="shared" si="5"/>
        <v xml:space="preserve"> </v>
      </c>
      <c r="K35" s="46" t="str">
        <f t="shared" si="5"/>
        <v xml:space="preserve"> </v>
      </c>
      <c r="L35" s="46" t="str">
        <f t="shared" si="5"/>
        <v xml:space="preserve"> </v>
      </c>
      <c r="M35" s="46" t="str">
        <f t="shared" si="5"/>
        <v xml:space="preserve"> </v>
      </c>
      <c r="N35" s="46" t="str">
        <f t="shared" si="5"/>
        <v xml:space="preserve"> </v>
      </c>
    </row>
    <row r="36" spans="2:52" ht="15" thickBot="1" x14ac:dyDescent="0.35">
      <c r="B36" s="18" t="s">
        <v>24</v>
      </c>
      <c r="C36" s="52">
        <f t="shared" ref="C36:N36" si="6">SUM(C39:C1048576)</f>
        <v>0</v>
      </c>
      <c r="D36" s="52">
        <f t="shared" si="6"/>
        <v>0</v>
      </c>
      <c r="E36" s="52">
        <f t="shared" si="6"/>
        <v>0</v>
      </c>
      <c r="F36" s="52">
        <f t="shared" si="6"/>
        <v>0</v>
      </c>
      <c r="G36" s="52">
        <f t="shared" si="6"/>
        <v>0</v>
      </c>
      <c r="H36" s="52">
        <f t="shared" si="6"/>
        <v>0</v>
      </c>
      <c r="I36" s="52">
        <f t="shared" si="6"/>
        <v>0</v>
      </c>
      <c r="J36" s="52">
        <f t="shared" si="6"/>
        <v>0</v>
      </c>
      <c r="K36" s="52">
        <f t="shared" si="6"/>
        <v>0</v>
      </c>
      <c r="L36" s="52">
        <f t="shared" si="6"/>
        <v>0</v>
      </c>
      <c r="M36" s="52">
        <f t="shared" si="6"/>
        <v>0</v>
      </c>
      <c r="N36" s="53">
        <f t="shared" si="6"/>
        <v>0</v>
      </c>
    </row>
    <row r="37" spans="2:52" ht="15" thickBot="1" x14ac:dyDescent="0.35">
      <c r="B37" s="18" t="s">
        <v>25</v>
      </c>
      <c r="C37" s="52" cm="1">
        <f t="array" ref="C37">SUM(LARGE(C39:C119,{1,2,3,4,5}))</f>
        <v>0</v>
      </c>
      <c r="D37" s="52" cm="1">
        <f t="array" ref="D37">SUM(LARGE(D39:D119,{1,2,3,4,5}))</f>
        <v>0</v>
      </c>
      <c r="E37" s="52" cm="1">
        <f t="array" ref="E37">SUM(LARGE(E39:E119,{1,2,3,4,5}))</f>
        <v>0</v>
      </c>
      <c r="F37" s="52" cm="1">
        <f t="array" ref="F37">SUM(LARGE(F39:F119,{1,2,3,4,5}))</f>
        <v>0</v>
      </c>
      <c r="G37" s="52" cm="1">
        <f t="array" ref="G37">SUM(LARGE(G39:G119,{1,2,3,4,5}))</f>
        <v>0</v>
      </c>
      <c r="H37" s="52" cm="1">
        <f t="array" ref="H37">SUM(LARGE(H39:H119,{1,2,3,4,5}))</f>
        <v>0</v>
      </c>
      <c r="I37" s="52" cm="1">
        <f t="array" ref="I37">SUM(LARGE(I39:I119,{1,2,3,4,5}))</f>
        <v>0</v>
      </c>
      <c r="J37" s="52" cm="1">
        <f t="array" ref="J37">SUM(LARGE(J39:J119,{1,2,3,4,5}))</f>
        <v>0</v>
      </c>
      <c r="K37" s="52" cm="1">
        <f t="array" ref="K37">SUM(LARGE(K39:K119,{1,2,3,4,5}))</f>
        <v>0</v>
      </c>
      <c r="L37" s="52" cm="1">
        <f t="array" ref="L37">SUM(LARGE(L39:L119,{1,2,3,4,5}))</f>
        <v>0</v>
      </c>
      <c r="M37" s="52" cm="1">
        <f t="array" ref="M37">SUM(LARGE(M39:M119,{1,2,3,4,5}))</f>
        <v>0</v>
      </c>
      <c r="N37" s="53" cm="1">
        <f t="array" ref="N37">SUM(LARGE(N39:N119,{1,2,3,4,5}))</f>
        <v>0</v>
      </c>
    </row>
    <row r="38" spans="2:52" x14ac:dyDescent="0.3">
      <c r="B38" s="17" t="s">
        <v>26</v>
      </c>
      <c r="C38" s="51" t="s">
        <v>27</v>
      </c>
      <c r="D38" s="51" t="s">
        <v>28</v>
      </c>
      <c r="E38" s="51" t="s">
        <v>29</v>
      </c>
      <c r="F38" s="51" t="s">
        <v>30</v>
      </c>
      <c r="G38" s="51" t="s">
        <v>31</v>
      </c>
      <c r="H38" s="51" t="s">
        <v>32</v>
      </c>
      <c r="I38" s="51" t="s">
        <v>33</v>
      </c>
      <c r="J38" s="51" t="s">
        <v>34</v>
      </c>
      <c r="K38" s="51" t="s">
        <v>35</v>
      </c>
      <c r="L38" s="51" t="s">
        <v>36</v>
      </c>
      <c r="M38" s="51" t="s">
        <v>37</v>
      </c>
      <c r="N38" s="51" t="s">
        <v>38</v>
      </c>
      <c r="P38" s="18" t="s">
        <v>39</v>
      </c>
      <c r="Q38" s="21">
        <v>44197</v>
      </c>
      <c r="R38" s="26"/>
      <c r="S38" s="26"/>
      <c r="T38" s="21">
        <v>44228</v>
      </c>
      <c r="U38" s="26"/>
      <c r="V38" s="26"/>
      <c r="W38" s="21">
        <v>44256</v>
      </c>
      <c r="X38" s="26"/>
      <c r="Y38" s="26"/>
      <c r="Z38" s="21">
        <v>44287</v>
      </c>
      <c r="AA38" s="26"/>
      <c r="AB38" s="26"/>
      <c r="AC38" s="21">
        <v>44317</v>
      </c>
      <c r="AD38" s="26"/>
      <c r="AE38" s="26"/>
      <c r="AF38" s="21">
        <v>44348</v>
      </c>
      <c r="AG38" s="26"/>
      <c r="AH38" s="26"/>
      <c r="AI38" s="21">
        <v>44378</v>
      </c>
      <c r="AJ38" s="26"/>
      <c r="AK38" s="26"/>
      <c r="AL38" s="21">
        <v>44409</v>
      </c>
      <c r="AM38" s="26"/>
      <c r="AN38" s="26"/>
      <c r="AO38" s="21">
        <v>44440</v>
      </c>
      <c r="AP38" s="26"/>
      <c r="AQ38" s="26"/>
      <c r="AR38" s="21">
        <v>44470</v>
      </c>
      <c r="AS38" s="26"/>
      <c r="AT38" s="26"/>
      <c r="AU38" s="21">
        <v>44501</v>
      </c>
      <c r="AV38" s="26"/>
      <c r="AW38" s="26"/>
      <c r="AX38" s="21">
        <v>44531</v>
      </c>
      <c r="AY38" s="26"/>
      <c r="AZ38" s="26"/>
    </row>
    <row r="39" spans="2:52" x14ac:dyDescent="0.3">
      <c r="B39" s="3" cm="1">
        <f t="array" ref="B39">INDEX('WL Records'!$C2:$C1678, MATCH(0, COUNTIF($B$38:B38, 'WL Records'!$C2:$C1678), 0))</f>
        <v>0</v>
      </c>
      <c r="C39">
        <f>SUMIFS(Table1[WL],Table1[Month],C$25,Table1[Customer],$B39)</f>
        <v>0</v>
      </c>
      <c r="D39">
        <f>SUMIFS(Table1[WL],Table1[Month],D$25,Table1[Customer],$B39)</f>
        <v>0</v>
      </c>
      <c r="E39">
        <f>SUMIFS(Table1[WL],Table1[Month],E$25,Table1[Customer],$B39)</f>
        <v>0</v>
      </c>
      <c r="F39">
        <f>SUMIFS(Table1[WL],Table1[Month],F$25,Table1[Customer],$B39)</f>
        <v>0</v>
      </c>
      <c r="G39">
        <f>SUMIFS(Table1[WL],Table1[Month],G$25,Table1[Customer],$B39)</f>
        <v>0</v>
      </c>
      <c r="H39">
        <f>SUMIFS(Table1[WL],Table1[Month],H$25,Table1[Customer],$B39)</f>
        <v>0</v>
      </c>
      <c r="I39">
        <f>SUMIFS(Table1[WL],Table1[Month],I$25,Table1[Customer],$B39)</f>
        <v>0</v>
      </c>
      <c r="J39">
        <f>SUMIFS(Table1[WL],Table1[Month],J$25,Table1[Customer],$B39)</f>
        <v>0</v>
      </c>
      <c r="K39">
        <f>SUMIFS(Table1[WL],Table1[Month],K$25,Table1[Customer],$B39)</f>
        <v>0</v>
      </c>
      <c r="L39">
        <f>SUMIFS(Table1[WL],Table1[Month],L$25,Table1[Customer],$B39)</f>
        <v>0</v>
      </c>
      <c r="M39">
        <f>SUMIFS(Table1[WL],Table1[Month],M$25,Table1[Customer],$B39)</f>
        <v>0</v>
      </c>
      <c r="N39">
        <f>SUMIFS(Table1[WL],Table1[Month],N$25,Table1[Customer],$B39)</f>
        <v>0</v>
      </c>
      <c r="P39" s="54">
        <v>1</v>
      </c>
      <c r="Q39" s="26">
        <f>INDEX(Table4[Customer],MATCH(R39,Table4[Jan-21],0))</f>
        <v>0</v>
      </c>
      <c r="R39" s="26">
        <f>LARGE(Table4[Jan-21],$P39)</f>
        <v>0</v>
      </c>
      <c r="S39" s="55" t="e">
        <f>R39/$C$36</f>
        <v>#DIV/0!</v>
      </c>
      <c r="T39" s="26">
        <f>INDEX(Table4[Customer],MATCH(U39,Table4[Feb-21],0))</f>
        <v>0</v>
      </c>
      <c r="U39" s="26">
        <f>LARGE(Table4[Feb-21],$P39)</f>
        <v>0</v>
      </c>
      <c r="V39" s="55" t="e">
        <f>U39/$D$36</f>
        <v>#DIV/0!</v>
      </c>
      <c r="W39" s="26">
        <f>INDEX(Table4[Customer],MATCH(X39,Table4[Mar-21],0))</f>
        <v>0</v>
      </c>
      <c r="X39" s="26">
        <f>LARGE(Table4[Mar-21],$P39)</f>
        <v>0</v>
      </c>
      <c r="Y39" s="55" t="e">
        <f>X39/$E$36</f>
        <v>#DIV/0!</v>
      </c>
      <c r="Z39" s="26">
        <f>INDEX(Table4[Customer],MATCH(AA39,Table4[Apr-21],0))</f>
        <v>0</v>
      </c>
      <c r="AA39" s="26">
        <f>LARGE(Table4[Apr-21],$P39)</f>
        <v>0</v>
      </c>
      <c r="AB39" s="55" t="e">
        <f>AA39/$F$36</f>
        <v>#DIV/0!</v>
      </c>
      <c r="AC39" s="26">
        <f>INDEX(Table4[Customer],MATCH(AD39,Table4[May-21],0))</f>
        <v>0</v>
      </c>
      <c r="AD39" s="26">
        <f>LARGE(Table4[May-21],$P39)</f>
        <v>0</v>
      </c>
      <c r="AE39" s="55" t="e">
        <f>AD39/$G$36</f>
        <v>#DIV/0!</v>
      </c>
      <c r="AF39" s="26">
        <f>INDEX(Table4[Customer],MATCH(AG39,Table4[Jun-21],0))</f>
        <v>0</v>
      </c>
      <c r="AG39" s="26">
        <f>LARGE(Table4[Jun-21],$P39)</f>
        <v>0</v>
      </c>
      <c r="AH39" s="55" t="e">
        <f>AG39/$H$36</f>
        <v>#DIV/0!</v>
      </c>
      <c r="AI39" s="26">
        <f>INDEX(Table4[Customer],MATCH(AJ39,Table4[Jul-21],0))</f>
        <v>0</v>
      </c>
      <c r="AJ39" s="26">
        <f>LARGE(Table4[Jul-21],$P39)</f>
        <v>0</v>
      </c>
      <c r="AK39" s="55" t="e">
        <f>AJ39/$I$36</f>
        <v>#DIV/0!</v>
      </c>
      <c r="AL39" s="26">
        <f>INDEX(Table4[Customer],MATCH(AM39,Table4[Aug-21],0))</f>
        <v>0</v>
      </c>
      <c r="AM39" s="26">
        <f>LARGE(Table4[Aug-21],$P39)</f>
        <v>0</v>
      </c>
      <c r="AN39" s="55" t="e">
        <f>AM39/$J$36</f>
        <v>#DIV/0!</v>
      </c>
      <c r="AO39" s="26">
        <f>INDEX(Table4[Customer],MATCH(AP39,Table4[Sep-21],0))</f>
        <v>0</v>
      </c>
      <c r="AP39" s="26">
        <f>LARGE(Table4[Sep-21],$P39)</f>
        <v>0</v>
      </c>
      <c r="AQ39" s="55" t="e">
        <f>AP39/$K$36</f>
        <v>#DIV/0!</v>
      </c>
      <c r="AR39" s="26">
        <f>INDEX(Table4[Customer],MATCH(AS39,Table4[Oct-21],0))</f>
        <v>0</v>
      </c>
      <c r="AS39" s="26">
        <f>LARGE(Table4[Oct-21],$P39)</f>
        <v>0</v>
      </c>
      <c r="AT39" s="55" t="e">
        <f>AS39/$L$36</f>
        <v>#DIV/0!</v>
      </c>
      <c r="AU39" s="26">
        <f>INDEX(Table4[Customer],MATCH(AV39,Table4[Nov-21],0))</f>
        <v>0</v>
      </c>
      <c r="AV39" s="26">
        <f>LARGE(Table4[Nov-21],$P39)</f>
        <v>0</v>
      </c>
      <c r="AW39" s="55" t="e">
        <f>AV39/$M$36</f>
        <v>#DIV/0!</v>
      </c>
      <c r="AX39" s="26">
        <f>INDEX(Table4[Customer],MATCH(AY39,Table4[Dec-21],0))</f>
        <v>0</v>
      </c>
      <c r="AY39" s="26">
        <f>LARGE(Table4[Dec-21],$P39)</f>
        <v>0</v>
      </c>
      <c r="AZ39" s="55" t="e">
        <f>AY39/$N$36</f>
        <v>#DIV/0!</v>
      </c>
    </row>
    <row r="40" spans="2:52" x14ac:dyDescent="0.3">
      <c r="B40" s="3" t="e" cm="1">
        <f t="array" ref="B40">INDEX('WL Records'!$C2:$C1679, MATCH(0, COUNTIF($B$38:B39, 'WL Records'!$C2:$C1679), 0))</f>
        <v>#N/A</v>
      </c>
      <c r="C40">
        <f>SUMIFS(Table1[WL],Table1[Month],C$25,Table1[Customer],$B40)</f>
        <v>0</v>
      </c>
      <c r="D40">
        <f>SUMIFS(Table1[WL],Table1[Month],D$25,Table1[Customer],$B40)</f>
        <v>0</v>
      </c>
      <c r="E40">
        <f>SUMIFS(Table1[WL],Table1[Month],E$25,Table1[Customer],$B40)</f>
        <v>0</v>
      </c>
      <c r="F40">
        <f>SUMIFS(Table1[WL],Table1[Month],F$25,Table1[Customer],$B40)</f>
        <v>0</v>
      </c>
      <c r="G40">
        <f>SUMIFS(Table1[WL],Table1[Month],G$25,Table1[Customer],$B40)</f>
        <v>0</v>
      </c>
      <c r="H40">
        <f>SUMIFS(Table1[WL],Table1[Month],H$25,Table1[Customer],$B40)</f>
        <v>0</v>
      </c>
      <c r="I40">
        <f>SUMIFS(Table1[WL],Table1[Month],I$25,Table1[Customer],$B40)</f>
        <v>0</v>
      </c>
      <c r="J40">
        <f>SUMIFS(Table1[WL],Table1[Month],J$25,Table1[Customer],$B40)</f>
        <v>0</v>
      </c>
      <c r="K40">
        <f>SUMIFS(Table1[WL],Table1[Month],K$25,Table1[Customer],$B40)</f>
        <v>0</v>
      </c>
      <c r="L40">
        <f>SUMIFS(Table1[WL],Table1[Month],L$25,Table1[Customer],$B40)</f>
        <v>0</v>
      </c>
      <c r="M40">
        <f>SUMIFS(Table1[WL],Table1[Month],M$25,Table1[Customer],$B40)</f>
        <v>0</v>
      </c>
      <c r="N40">
        <f>SUMIFS(Table1[WL],Table1[Month],N$25,Table1[Customer],$B40)</f>
        <v>0</v>
      </c>
      <c r="P40" s="54">
        <v>2</v>
      </c>
      <c r="Q40" s="26">
        <f>INDEX(Table4[Customer],MATCH(R40,Table4[Jan-21],0))</f>
        <v>0</v>
      </c>
      <c r="R40" s="26">
        <f>LARGE(Table4[Jan-21],$P40)</f>
        <v>0</v>
      </c>
      <c r="S40" s="55" t="e">
        <f t="shared" ref="S40:S43" si="7">R40/$C$36</f>
        <v>#DIV/0!</v>
      </c>
      <c r="T40" s="26">
        <f>INDEX(Table4[Customer],MATCH(U40,Table4[Feb-21],0))</f>
        <v>0</v>
      </c>
      <c r="U40" s="26">
        <f>LARGE(Table4[Feb-21],$P40)</f>
        <v>0</v>
      </c>
      <c r="V40" s="55" t="e">
        <f t="shared" ref="V40:V43" si="8">U40/$D$36</f>
        <v>#DIV/0!</v>
      </c>
      <c r="W40" s="26">
        <f>INDEX(Table4[Customer],MATCH(X40,Table4[Mar-21],0))</f>
        <v>0</v>
      </c>
      <c r="X40" s="26">
        <f>LARGE(Table4[Mar-21],$P40)</f>
        <v>0</v>
      </c>
      <c r="Y40" s="55" t="e">
        <f t="shared" ref="Y40:Y43" si="9">X40/$E$36</f>
        <v>#DIV/0!</v>
      </c>
      <c r="Z40" s="26">
        <f>INDEX(Table4[Customer],MATCH(AA40,Table4[Apr-21],0))</f>
        <v>0</v>
      </c>
      <c r="AA40" s="26">
        <f>LARGE(Table4[Apr-21],$P40)</f>
        <v>0</v>
      </c>
      <c r="AB40" s="55" t="e">
        <f t="shared" ref="AB40:AB43" si="10">AA40/$F$36</f>
        <v>#DIV/0!</v>
      </c>
      <c r="AC40" s="26">
        <f>INDEX(Table4[Customer],MATCH(AD40,Table4[May-21],0))</f>
        <v>0</v>
      </c>
      <c r="AD40" s="26">
        <f>LARGE(Table4[May-21],$P40)</f>
        <v>0</v>
      </c>
      <c r="AE40" s="55" t="e">
        <f t="shared" ref="AE40:AE43" si="11">AD40/$G$36</f>
        <v>#DIV/0!</v>
      </c>
      <c r="AF40" s="26">
        <f>INDEX(Table4[Customer],MATCH(AG40,Table4[Jun-21],0))</f>
        <v>0</v>
      </c>
      <c r="AG40" s="26">
        <f>LARGE(Table4[Jun-21],$P40)</f>
        <v>0</v>
      </c>
      <c r="AH40" s="55" t="e">
        <f t="shared" ref="AH40:AH43" si="12">AG40/$H$36</f>
        <v>#DIV/0!</v>
      </c>
      <c r="AI40" s="26">
        <f>INDEX(Table4[Customer],MATCH(AJ40,Table4[Jul-21],0))</f>
        <v>0</v>
      </c>
      <c r="AJ40" s="26">
        <f>LARGE(Table4[Jul-21],$P40)</f>
        <v>0</v>
      </c>
      <c r="AK40" s="55" t="e">
        <f t="shared" ref="AK40:AK43" si="13">AJ40/$I$36</f>
        <v>#DIV/0!</v>
      </c>
      <c r="AL40" s="26">
        <f>INDEX(Table4[Customer],MATCH(AM40,Table4[Aug-21],0))</f>
        <v>0</v>
      </c>
      <c r="AM40" s="26">
        <f>LARGE(Table4[Aug-21],$P40)</f>
        <v>0</v>
      </c>
      <c r="AN40" s="55" t="e">
        <f t="shared" ref="AN40:AN43" si="14">AM40/$J$36</f>
        <v>#DIV/0!</v>
      </c>
      <c r="AO40" s="26">
        <f>INDEX(Table4[Customer],MATCH(AP40,Table4[Sep-21],0))</f>
        <v>0</v>
      </c>
      <c r="AP40" s="26">
        <f>LARGE(Table4[Sep-21],$P40)</f>
        <v>0</v>
      </c>
      <c r="AQ40" s="55" t="e">
        <f t="shared" ref="AQ40:AQ43" si="15">AP40/$K$36</f>
        <v>#DIV/0!</v>
      </c>
      <c r="AR40" s="26">
        <f>INDEX(Table4[Customer],MATCH(AS40,Table4[Oct-21],0))</f>
        <v>0</v>
      </c>
      <c r="AS40" s="26">
        <f>LARGE(Table4[Oct-21],$P40)</f>
        <v>0</v>
      </c>
      <c r="AT40" s="55" t="e">
        <f t="shared" ref="AT40:AT43" si="16">AS40/$L$36</f>
        <v>#DIV/0!</v>
      </c>
      <c r="AU40" s="26">
        <f>INDEX(Table4[Customer],MATCH(AV40,Table4[Nov-21],0))</f>
        <v>0</v>
      </c>
      <c r="AV40" s="26">
        <f>LARGE(Table4[Nov-21],$P40)</f>
        <v>0</v>
      </c>
      <c r="AW40" s="55" t="e">
        <f t="shared" ref="AW40:AW43" si="17">AV40/$M$36</f>
        <v>#DIV/0!</v>
      </c>
      <c r="AX40" s="26">
        <f>INDEX(Table4[Customer],MATCH(AY40,Table4[Dec-21],0))</f>
        <v>0</v>
      </c>
      <c r="AY40" s="26">
        <f>LARGE(Table4[Dec-21],$P40)</f>
        <v>0</v>
      </c>
      <c r="AZ40" s="55" t="e">
        <f t="shared" ref="AZ40:AZ43" si="18">AY40/$N$36</f>
        <v>#DIV/0!</v>
      </c>
    </row>
    <row r="41" spans="2:52" x14ac:dyDescent="0.3">
      <c r="B41" s="3" t="e" cm="1">
        <f t="array" ref="B41">INDEX('WL Records'!$C2:$C1680, MATCH(0, COUNTIF($B$38:B40, 'WL Records'!$C2:$C1680), 0))</f>
        <v>#N/A</v>
      </c>
      <c r="C41">
        <f>SUMIFS(Table1[WL],Table1[Month],C$25,Table1[Customer],$B41)</f>
        <v>0</v>
      </c>
      <c r="D41">
        <f>SUMIFS(Table1[WL],Table1[Month],D$25,Table1[Customer],$B41)</f>
        <v>0</v>
      </c>
      <c r="E41">
        <f>SUMIFS(Table1[WL],Table1[Month],E$25,Table1[Customer],$B41)</f>
        <v>0</v>
      </c>
      <c r="F41">
        <f>SUMIFS(Table1[WL],Table1[Month],F$25,Table1[Customer],$B41)</f>
        <v>0</v>
      </c>
      <c r="G41">
        <f>SUMIFS(Table1[WL],Table1[Month],G$25,Table1[Customer],$B41)</f>
        <v>0</v>
      </c>
      <c r="H41">
        <f>SUMIFS(Table1[WL],Table1[Month],H$25,Table1[Customer],$B41)</f>
        <v>0</v>
      </c>
      <c r="I41">
        <f>SUMIFS(Table1[WL],Table1[Month],I$25,Table1[Customer],$B41)</f>
        <v>0</v>
      </c>
      <c r="J41">
        <f>SUMIFS(Table1[WL],Table1[Month],J$25,Table1[Customer],$B41)</f>
        <v>0</v>
      </c>
      <c r="K41">
        <f>SUMIFS(Table1[WL],Table1[Month],K$25,Table1[Customer],$B41)</f>
        <v>0</v>
      </c>
      <c r="L41">
        <f>SUMIFS(Table1[WL],Table1[Month],L$25,Table1[Customer],$B41)</f>
        <v>0</v>
      </c>
      <c r="M41">
        <f>SUMIFS(Table1[WL],Table1[Month],M$25,Table1[Customer],$B41)</f>
        <v>0</v>
      </c>
      <c r="N41">
        <f>SUMIFS(Table1[WL],Table1[Month],N$25,Table1[Customer],$B41)</f>
        <v>0</v>
      </c>
      <c r="P41" s="54">
        <v>3</v>
      </c>
      <c r="Q41" s="26">
        <f>INDEX(Table4[Customer],MATCH(R41,Table4[Jan-21],0))</f>
        <v>0</v>
      </c>
      <c r="R41" s="26">
        <f>LARGE(Table4[Jan-21],$P41)</f>
        <v>0</v>
      </c>
      <c r="S41" s="55" t="e">
        <f t="shared" si="7"/>
        <v>#DIV/0!</v>
      </c>
      <c r="T41" s="26">
        <f>INDEX(Table4[Customer],MATCH(U41,Table4[Feb-21],0))</f>
        <v>0</v>
      </c>
      <c r="U41" s="26">
        <f>LARGE(Table4[Feb-21],$P41)</f>
        <v>0</v>
      </c>
      <c r="V41" s="55" t="e">
        <f t="shared" si="8"/>
        <v>#DIV/0!</v>
      </c>
      <c r="W41" s="26">
        <f>INDEX(Table4[Customer],MATCH(X41,Table4[Mar-21],0))</f>
        <v>0</v>
      </c>
      <c r="X41" s="26">
        <f>LARGE(Table4[Mar-21],$P41)</f>
        <v>0</v>
      </c>
      <c r="Y41" s="55" t="e">
        <f t="shared" si="9"/>
        <v>#DIV/0!</v>
      </c>
      <c r="Z41" s="26">
        <f>INDEX(Table4[Customer],MATCH(AA41,Table4[Apr-21],0))</f>
        <v>0</v>
      </c>
      <c r="AA41" s="26">
        <f>LARGE(Table4[Apr-21],$P41)</f>
        <v>0</v>
      </c>
      <c r="AB41" s="55" t="e">
        <f t="shared" si="10"/>
        <v>#DIV/0!</v>
      </c>
      <c r="AC41" s="26">
        <f>INDEX(Table4[Customer],MATCH(AD41,Table4[May-21],0))</f>
        <v>0</v>
      </c>
      <c r="AD41" s="26">
        <f>LARGE(Table4[May-21],$P41)</f>
        <v>0</v>
      </c>
      <c r="AE41" s="55" t="e">
        <f t="shared" si="11"/>
        <v>#DIV/0!</v>
      </c>
      <c r="AF41" s="26">
        <f>INDEX(Table4[Customer],MATCH(AG41,Table4[Jun-21],0))</f>
        <v>0</v>
      </c>
      <c r="AG41" s="26">
        <f>LARGE(Table4[Jun-21],$P41)</f>
        <v>0</v>
      </c>
      <c r="AH41" s="55" t="e">
        <f t="shared" si="12"/>
        <v>#DIV/0!</v>
      </c>
      <c r="AI41" s="26">
        <f>INDEX(Table4[Customer],MATCH(AJ41,Table4[Jul-21],0))</f>
        <v>0</v>
      </c>
      <c r="AJ41" s="26">
        <f>LARGE(Table4[Jul-21],$P41)</f>
        <v>0</v>
      </c>
      <c r="AK41" s="55" t="e">
        <f t="shared" si="13"/>
        <v>#DIV/0!</v>
      </c>
      <c r="AL41" s="26">
        <f>INDEX(Table4[Customer],MATCH(AM41,Table4[Aug-21],0))</f>
        <v>0</v>
      </c>
      <c r="AM41" s="26">
        <f>LARGE(Table4[Aug-21],$P41)</f>
        <v>0</v>
      </c>
      <c r="AN41" s="55" t="e">
        <f t="shared" si="14"/>
        <v>#DIV/0!</v>
      </c>
      <c r="AO41" s="26">
        <f>INDEX(Table4[Customer],MATCH(AP41,Table4[Sep-21],0))</f>
        <v>0</v>
      </c>
      <c r="AP41" s="26">
        <f>LARGE(Table4[Sep-21],$P41)</f>
        <v>0</v>
      </c>
      <c r="AQ41" s="55" t="e">
        <f t="shared" si="15"/>
        <v>#DIV/0!</v>
      </c>
      <c r="AR41" s="26">
        <f>INDEX(Table4[Customer],MATCH(AS41,Table4[Oct-21],0))</f>
        <v>0</v>
      </c>
      <c r="AS41" s="26">
        <f>LARGE(Table4[Oct-21],$P41)</f>
        <v>0</v>
      </c>
      <c r="AT41" s="55" t="e">
        <f t="shared" si="16"/>
        <v>#DIV/0!</v>
      </c>
      <c r="AU41" s="26">
        <f>INDEX(Table4[Customer],MATCH(AV41,Table4[Nov-21],0))</f>
        <v>0</v>
      </c>
      <c r="AV41" s="26">
        <f>LARGE(Table4[Nov-21],$P41)</f>
        <v>0</v>
      </c>
      <c r="AW41" s="55" t="e">
        <f t="shared" si="17"/>
        <v>#DIV/0!</v>
      </c>
      <c r="AX41" s="26">
        <f>INDEX(Table4[Customer],MATCH(AY41,Table4[Dec-21],0))</f>
        <v>0</v>
      </c>
      <c r="AY41" s="26">
        <f>LARGE(Table4[Dec-21],$P41)</f>
        <v>0</v>
      </c>
      <c r="AZ41" s="55" t="e">
        <f t="shared" si="18"/>
        <v>#DIV/0!</v>
      </c>
    </row>
    <row r="42" spans="2:52" x14ac:dyDescent="0.3">
      <c r="B42" s="3" t="e" cm="1">
        <f t="array" ref="B42">INDEX('WL Records'!$C2:$C1681, MATCH(0, COUNTIF($B$38:B41, 'WL Records'!$C2:$C1681), 0))</f>
        <v>#N/A</v>
      </c>
      <c r="C42">
        <f>SUMIFS(Table1[WL],Table1[Month],C$25,Table1[Customer],$B42)</f>
        <v>0</v>
      </c>
      <c r="D42">
        <f>SUMIFS(Table1[WL],Table1[Month],D$25,Table1[Customer],$B42)</f>
        <v>0</v>
      </c>
      <c r="E42">
        <f>SUMIFS(Table1[WL],Table1[Month],E$25,Table1[Customer],$B42)</f>
        <v>0</v>
      </c>
      <c r="F42">
        <f>SUMIFS(Table1[WL],Table1[Month],F$25,Table1[Customer],$B42)</f>
        <v>0</v>
      </c>
      <c r="G42">
        <f>SUMIFS(Table1[WL],Table1[Month],G$25,Table1[Customer],$B42)</f>
        <v>0</v>
      </c>
      <c r="H42">
        <f>SUMIFS(Table1[WL],Table1[Month],H$25,Table1[Customer],$B42)</f>
        <v>0</v>
      </c>
      <c r="I42">
        <f>SUMIFS(Table1[WL],Table1[Month],I$25,Table1[Customer],$B42)</f>
        <v>0</v>
      </c>
      <c r="J42">
        <f>SUMIFS(Table1[WL],Table1[Month],J$25,Table1[Customer],$B42)</f>
        <v>0</v>
      </c>
      <c r="K42">
        <f>SUMIFS(Table1[WL],Table1[Month],K$25,Table1[Customer],$B42)</f>
        <v>0</v>
      </c>
      <c r="L42">
        <f>SUMIFS(Table1[WL],Table1[Month],L$25,Table1[Customer],$B42)</f>
        <v>0</v>
      </c>
      <c r="M42">
        <f>SUMIFS(Table1[WL],Table1[Month],M$25,Table1[Customer],$B42)</f>
        <v>0</v>
      </c>
      <c r="N42">
        <f>SUMIFS(Table1[WL],Table1[Month],N$25,Table1[Customer],$B42)</f>
        <v>0</v>
      </c>
      <c r="P42" s="54">
        <v>4</v>
      </c>
      <c r="Q42" s="26">
        <f>INDEX(Table4[Customer],MATCH(R42,Table4[Jan-21],0))</f>
        <v>0</v>
      </c>
      <c r="R42" s="26">
        <f>LARGE(Table4[Jan-21],$P42)</f>
        <v>0</v>
      </c>
      <c r="S42" s="55" t="e">
        <f t="shared" si="7"/>
        <v>#DIV/0!</v>
      </c>
      <c r="T42" s="26">
        <f>INDEX(Table4[Customer],MATCH(U42,Table4[Feb-21],0))</f>
        <v>0</v>
      </c>
      <c r="U42" s="26">
        <f>LARGE(Table4[Feb-21],$P42)</f>
        <v>0</v>
      </c>
      <c r="V42" s="55" t="e">
        <f t="shared" si="8"/>
        <v>#DIV/0!</v>
      </c>
      <c r="W42" s="26">
        <f>INDEX(Table4[Customer],MATCH(X42,Table4[Mar-21],0))</f>
        <v>0</v>
      </c>
      <c r="X42" s="26">
        <f>LARGE(Table4[Mar-21],$P42)</f>
        <v>0</v>
      </c>
      <c r="Y42" s="55" t="e">
        <f t="shared" si="9"/>
        <v>#DIV/0!</v>
      </c>
      <c r="Z42" s="26">
        <f>INDEX(Table4[Customer],MATCH(AA42,Table4[Apr-21],0))</f>
        <v>0</v>
      </c>
      <c r="AA42" s="26">
        <f>LARGE(Table4[Apr-21],$P42)</f>
        <v>0</v>
      </c>
      <c r="AB42" s="55" t="e">
        <f t="shared" si="10"/>
        <v>#DIV/0!</v>
      </c>
      <c r="AC42" s="26">
        <f>INDEX(Table4[Customer],MATCH(AD42,Table4[May-21],0))</f>
        <v>0</v>
      </c>
      <c r="AD42" s="26">
        <f>LARGE(Table4[May-21],$P42)</f>
        <v>0</v>
      </c>
      <c r="AE42" s="55" t="e">
        <f t="shared" si="11"/>
        <v>#DIV/0!</v>
      </c>
      <c r="AF42" s="26">
        <f>INDEX(Table4[Customer],MATCH(AG42,Table4[Jun-21],0))</f>
        <v>0</v>
      </c>
      <c r="AG42" s="26">
        <f>LARGE(Table4[Jun-21],$P42)</f>
        <v>0</v>
      </c>
      <c r="AH42" s="55" t="e">
        <f t="shared" si="12"/>
        <v>#DIV/0!</v>
      </c>
      <c r="AI42" s="26">
        <f>INDEX(Table4[Customer],MATCH(AJ42,Table4[Jul-21],0))</f>
        <v>0</v>
      </c>
      <c r="AJ42" s="26">
        <f>LARGE(Table4[Jul-21],$P42)</f>
        <v>0</v>
      </c>
      <c r="AK42" s="55" t="e">
        <f t="shared" si="13"/>
        <v>#DIV/0!</v>
      </c>
      <c r="AL42" s="26">
        <f>INDEX(Table4[Customer],MATCH(AM42,Table4[Aug-21],0))</f>
        <v>0</v>
      </c>
      <c r="AM42" s="26">
        <f>LARGE(Table4[Aug-21],$P42)</f>
        <v>0</v>
      </c>
      <c r="AN42" s="55" t="e">
        <f t="shared" si="14"/>
        <v>#DIV/0!</v>
      </c>
      <c r="AO42" s="26">
        <f>INDEX(Table4[Customer],MATCH(AP42,Table4[Sep-21],0))</f>
        <v>0</v>
      </c>
      <c r="AP42" s="26">
        <f>LARGE(Table4[Sep-21],$P42)</f>
        <v>0</v>
      </c>
      <c r="AQ42" s="55" t="e">
        <f t="shared" si="15"/>
        <v>#DIV/0!</v>
      </c>
      <c r="AR42" s="26">
        <f>INDEX(Table4[Customer],MATCH(AS42,Table4[Oct-21],0))</f>
        <v>0</v>
      </c>
      <c r="AS42" s="26">
        <f>LARGE(Table4[Oct-21],$P42)</f>
        <v>0</v>
      </c>
      <c r="AT42" s="55" t="e">
        <f t="shared" si="16"/>
        <v>#DIV/0!</v>
      </c>
      <c r="AU42" s="26">
        <f>INDEX(Table4[Customer],MATCH(AV42,Table4[Nov-21],0))</f>
        <v>0</v>
      </c>
      <c r="AV42" s="26">
        <f>LARGE(Table4[Nov-21],$P42)</f>
        <v>0</v>
      </c>
      <c r="AW42" s="55" t="e">
        <f t="shared" si="17"/>
        <v>#DIV/0!</v>
      </c>
      <c r="AX42" s="26">
        <f>INDEX(Table4[Customer],MATCH(AY42,Table4[Dec-21],0))</f>
        <v>0</v>
      </c>
      <c r="AY42" s="26">
        <f>LARGE(Table4[Dec-21],$P42)</f>
        <v>0</v>
      </c>
      <c r="AZ42" s="55" t="e">
        <f t="shared" si="18"/>
        <v>#DIV/0!</v>
      </c>
    </row>
    <row r="43" spans="2:52" x14ac:dyDescent="0.3">
      <c r="B43" s="3" t="e" cm="1">
        <f t="array" ref="B43">INDEX('WL Records'!$C2:$C1682, MATCH(0, COUNTIF($B$38:B42, 'WL Records'!$C2:$C1682), 0))</f>
        <v>#N/A</v>
      </c>
      <c r="C43">
        <f>SUMIFS(Table1[WL],Table1[Month],C$25,Table1[Customer],$B43)</f>
        <v>0</v>
      </c>
      <c r="D43">
        <f>SUMIFS(Table1[WL],Table1[Month],D$25,Table1[Customer],$B43)</f>
        <v>0</v>
      </c>
      <c r="E43">
        <f>SUMIFS(Table1[WL],Table1[Month],E$25,Table1[Customer],$B43)</f>
        <v>0</v>
      </c>
      <c r="F43">
        <f>SUMIFS(Table1[WL],Table1[Month],F$25,Table1[Customer],$B43)</f>
        <v>0</v>
      </c>
      <c r="G43">
        <f>SUMIFS(Table1[WL],Table1[Month],G$25,Table1[Customer],$B43)</f>
        <v>0</v>
      </c>
      <c r="H43">
        <f>SUMIFS(Table1[WL],Table1[Month],H$25,Table1[Customer],$B43)</f>
        <v>0</v>
      </c>
      <c r="I43">
        <f>SUMIFS(Table1[WL],Table1[Month],I$25,Table1[Customer],$B43)</f>
        <v>0</v>
      </c>
      <c r="J43">
        <f>SUMIFS(Table1[WL],Table1[Month],J$25,Table1[Customer],$B43)</f>
        <v>0</v>
      </c>
      <c r="K43">
        <f>SUMIFS(Table1[WL],Table1[Month],K$25,Table1[Customer],$B43)</f>
        <v>0</v>
      </c>
      <c r="L43">
        <f>SUMIFS(Table1[WL],Table1[Month],L$25,Table1[Customer],$B43)</f>
        <v>0</v>
      </c>
      <c r="M43">
        <f>SUMIFS(Table1[WL],Table1[Month],M$25,Table1[Customer],$B43)</f>
        <v>0</v>
      </c>
      <c r="N43">
        <f>SUMIFS(Table1[WL],Table1[Month],N$25,Table1[Customer],$B43)</f>
        <v>0</v>
      </c>
      <c r="P43" s="54">
        <v>5</v>
      </c>
      <c r="Q43" s="26">
        <f>INDEX(Table4[Customer],MATCH(R43,Table4[Jan-21],0))</f>
        <v>0</v>
      </c>
      <c r="R43" s="26">
        <f>LARGE(Table4[Jan-21],$P43)</f>
        <v>0</v>
      </c>
      <c r="S43" s="55" t="e">
        <f t="shared" si="7"/>
        <v>#DIV/0!</v>
      </c>
      <c r="T43" s="26">
        <f>INDEX(Table4[Customer],MATCH(U43,Table4[Feb-21],0))</f>
        <v>0</v>
      </c>
      <c r="U43" s="26">
        <f>LARGE(Table4[Feb-21],$P43)</f>
        <v>0</v>
      </c>
      <c r="V43" s="55" t="e">
        <f t="shared" si="8"/>
        <v>#DIV/0!</v>
      </c>
      <c r="W43" s="26">
        <f>INDEX(Table4[Customer],MATCH(X43,Table4[Mar-21],0))</f>
        <v>0</v>
      </c>
      <c r="X43" s="26">
        <f>LARGE(Table4[Mar-21],$P43)</f>
        <v>0</v>
      </c>
      <c r="Y43" s="55" t="e">
        <f t="shared" si="9"/>
        <v>#DIV/0!</v>
      </c>
      <c r="Z43" s="26">
        <f>INDEX(Table4[Customer],MATCH(AA43,Table4[Apr-21],0))</f>
        <v>0</v>
      </c>
      <c r="AA43" s="26">
        <f>LARGE(Table4[Apr-21],$P43)</f>
        <v>0</v>
      </c>
      <c r="AB43" s="55" t="e">
        <f t="shared" si="10"/>
        <v>#DIV/0!</v>
      </c>
      <c r="AC43" s="26">
        <f>INDEX(Table4[Customer],MATCH(AD43,Table4[May-21],0))</f>
        <v>0</v>
      </c>
      <c r="AD43" s="26">
        <f>LARGE(Table4[May-21],$P43)</f>
        <v>0</v>
      </c>
      <c r="AE43" s="55" t="e">
        <f t="shared" si="11"/>
        <v>#DIV/0!</v>
      </c>
      <c r="AF43" s="26">
        <f>INDEX(Table4[Customer],MATCH(AG43,Table4[Jun-21],0))</f>
        <v>0</v>
      </c>
      <c r="AG43" s="26">
        <f>LARGE(Table4[Jun-21],$P43)</f>
        <v>0</v>
      </c>
      <c r="AH43" s="55" t="e">
        <f t="shared" si="12"/>
        <v>#DIV/0!</v>
      </c>
      <c r="AI43" s="26">
        <f>INDEX(Table4[Customer],MATCH(AJ43,Table4[Jul-21],0))</f>
        <v>0</v>
      </c>
      <c r="AJ43" s="26">
        <f>LARGE(Table4[Jul-21],$P43)</f>
        <v>0</v>
      </c>
      <c r="AK43" s="55" t="e">
        <f t="shared" si="13"/>
        <v>#DIV/0!</v>
      </c>
      <c r="AL43" s="26">
        <f>INDEX(Table4[Customer],MATCH(AM43,Table4[Aug-21],0))</f>
        <v>0</v>
      </c>
      <c r="AM43" s="26">
        <f>LARGE(Table4[Aug-21],$P43)</f>
        <v>0</v>
      </c>
      <c r="AN43" s="55" t="e">
        <f t="shared" si="14"/>
        <v>#DIV/0!</v>
      </c>
      <c r="AO43" s="26">
        <f>INDEX(Table4[Customer],MATCH(AP43,Table4[Sep-21],0))</f>
        <v>0</v>
      </c>
      <c r="AP43" s="26">
        <f>LARGE(Table4[Sep-21],$P43)</f>
        <v>0</v>
      </c>
      <c r="AQ43" s="55" t="e">
        <f t="shared" si="15"/>
        <v>#DIV/0!</v>
      </c>
      <c r="AR43" s="26">
        <f>INDEX(Table4[Customer],MATCH(AS43,Table4[Oct-21],0))</f>
        <v>0</v>
      </c>
      <c r="AS43" s="26">
        <f>LARGE(Table4[Oct-21],$P43)</f>
        <v>0</v>
      </c>
      <c r="AT43" s="55" t="e">
        <f t="shared" si="16"/>
        <v>#DIV/0!</v>
      </c>
      <c r="AU43" s="26">
        <f>INDEX(Table4[Customer],MATCH(AV43,Table4[Nov-21],0))</f>
        <v>0</v>
      </c>
      <c r="AV43" s="26">
        <f>LARGE(Table4[Nov-21],$P43)</f>
        <v>0</v>
      </c>
      <c r="AW43" s="55" t="e">
        <f t="shared" si="17"/>
        <v>#DIV/0!</v>
      </c>
      <c r="AX43" s="26">
        <f>INDEX(Table4[Customer],MATCH(AY43,Table4[Dec-21],0))</f>
        <v>0</v>
      </c>
      <c r="AY43" s="26">
        <f>LARGE(Table4[Dec-21],$P43)</f>
        <v>0</v>
      </c>
      <c r="AZ43" s="55" t="e">
        <f t="shared" si="18"/>
        <v>#DIV/0!</v>
      </c>
    </row>
    <row r="44" spans="2:52" x14ac:dyDescent="0.3">
      <c r="B44" s="3" t="e" cm="1">
        <f t="array" ref="B44">INDEX('WL Records'!$C2:$C1683, MATCH(0, COUNTIF($B$38:B43, 'WL Records'!$C2:$C1683), 0))</f>
        <v>#N/A</v>
      </c>
      <c r="C44">
        <f>SUMIFS(Table1[WL],Table1[Month],C$25,Table1[Customer],$B44)</f>
        <v>0</v>
      </c>
      <c r="D44">
        <f>SUMIFS(Table1[WL],Table1[Month],D$25,Table1[Customer],$B44)</f>
        <v>0</v>
      </c>
      <c r="E44">
        <f>SUMIFS(Table1[WL],Table1[Month],E$25,Table1[Customer],$B44)</f>
        <v>0</v>
      </c>
      <c r="F44">
        <f>SUMIFS(Table1[WL],Table1[Month],F$25,Table1[Customer],$B44)</f>
        <v>0</v>
      </c>
      <c r="G44">
        <f>SUMIFS(Table1[WL],Table1[Month],G$25,Table1[Customer],$B44)</f>
        <v>0</v>
      </c>
      <c r="H44">
        <f>SUMIFS(Table1[WL],Table1[Month],H$25,Table1[Customer],$B44)</f>
        <v>0</v>
      </c>
      <c r="I44">
        <f>SUMIFS(Table1[WL],Table1[Month],I$25,Table1[Customer],$B44)</f>
        <v>0</v>
      </c>
      <c r="J44">
        <f>SUMIFS(Table1[WL],Table1[Month],J$25,Table1[Customer],$B44)</f>
        <v>0</v>
      </c>
      <c r="K44">
        <f>SUMIFS(Table1[WL],Table1[Month],K$25,Table1[Customer],$B44)</f>
        <v>0</v>
      </c>
      <c r="L44">
        <f>SUMIFS(Table1[WL],Table1[Month],L$25,Table1[Customer],$B44)</f>
        <v>0</v>
      </c>
      <c r="M44">
        <f>SUMIFS(Table1[WL],Table1[Month],M$25,Table1[Customer],$B44)</f>
        <v>0</v>
      </c>
      <c r="N44">
        <f>SUMIFS(Table1[WL],Table1[Month],N$25,Table1[Customer],$B44)</f>
        <v>0</v>
      </c>
    </row>
    <row r="45" spans="2:52" x14ac:dyDescent="0.3">
      <c r="B45" s="3" t="e" cm="1">
        <f t="array" ref="B45">INDEX('WL Records'!$C2:$C1684, MATCH(0, COUNTIF($B$38:B44, 'WL Records'!$C2:$C1684), 0))</f>
        <v>#N/A</v>
      </c>
      <c r="C45">
        <f>SUMIFS(Table1[WL],Table1[Month],C$25,Table1[Customer],$B45)</f>
        <v>0</v>
      </c>
      <c r="D45">
        <f>SUMIFS(Table1[WL],Table1[Month],D$25,Table1[Customer],$B45)</f>
        <v>0</v>
      </c>
      <c r="E45">
        <f>SUMIFS(Table1[WL],Table1[Month],E$25,Table1[Customer],$B45)</f>
        <v>0</v>
      </c>
      <c r="F45">
        <f>SUMIFS(Table1[WL],Table1[Month],F$25,Table1[Customer],$B45)</f>
        <v>0</v>
      </c>
      <c r="G45">
        <f>SUMIFS(Table1[WL],Table1[Month],G$25,Table1[Customer],$B45)</f>
        <v>0</v>
      </c>
      <c r="H45">
        <f>SUMIFS(Table1[WL],Table1[Month],H$25,Table1[Customer],$B45)</f>
        <v>0</v>
      </c>
      <c r="I45">
        <f>SUMIFS(Table1[WL],Table1[Month],I$25,Table1[Customer],$B45)</f>
        <v>0</v>
      </c>
      <c r="J45">
        <f>SUMIFS(Table1[WL],Table1[Month],J$25,Table1[Customer],$B45)</f>
        <v>0</v>
      </c>
      <c r="K45">
        <f>SUMIFS(Table1[WL],Table1[Month],K$25,Table1[Customer],$B45)</f>
        <v>0</v>
      </c>
      <c r="L45">
        <f>SUMIFS(Table1[WL],Table1[Month],L$25,Table1[Customer],$B45)</f>
        <v>0</v>
      </c>
      <c r="M45">
        <f>SUMIFS(Table1[WL],Table1[Month],M$25,Table1[Customer],$B45)</f>
        <v>0</v>
      </c>
      <c r="N45">
        <f>SUMIFS(Table1[WL],Table1[Month],N$25,Table1[Customer],$B45)</f>
        <v>0</v>
      </c>
    </row>
    <row r="46" spans="2:52" x14ac:dyDescent="0.3">
      <c r="B46" s="3" t="e" cm="1">
        <f t="array" ref="B46">INDEX('WL Records'!$C2:$C1685, MATCH(0, COUNTIF($B$38:B45, 'WL Records'!$C2:$C1685), 0))</f>
        <v>#N/A</v>
      </c>
      <c r="C46">
        <f>SUMIFS(Table1[WL],Table1[Month],C$25,Table1[Customer],$B46)</f>
        <v>0</v>
      </c>
      <c r="D46">
        <f>SUMIFS(Table1[WL],Table1[Month],D$25,Table1[Customer],$B46)</f>
        <v>0</v>
      </c>
      <c r="E46">
        <f>SUMIFS(Table1[WL],Table1[Month],E$25,Table1[Customer],$B46)</f>
        <v>0</v>
      </c>
      <c r="F46">
        <f>SUMIFS(Table1[WL],Table1[Month],F$25,Table1[Customer],$B46)</f>
        <v>0</v>
      </c>
      <c r="G46">
        <f>SUMIFS(Table1[WL],Table1[Month],G$25,Table1[Customer],$B46)</f>
        <v>0</v>
      </c>
      <c r="H46">
        <f>SUMIFS(Table1[WL],Table1[Month],H$25,Table1[Customer],$B46)</f>
        <v>0</v>
      </c>
      <c r="I46">
        <f>SUMIFS(Table1[WL],Table1[Month],I$25,Table1[Customer],$B46)</f>
        <v>0</v>
      </c>
      <c r="J46">
        <f>SUMIFS(Table1[WL],Table1[Month],J$25,Table1[Customer],$B46)</f>
        <v>0</v>
      </c>
      <c r="K46">
        <f>SUMIFS(Table1[WL],Table1[Month],K$25,Table1[Customer],$B46)</f>
        <v>0</v>
      </c>
      <c r="L46">
        <f>SUMIFS(Table1[WL],Table1[Month],L$25,Table1[Customer],$B46)</f>
        <v>0</v>
      </c>
      <c r="M46">
        <f>SUMIFS(Table1[WL],Table1[Month],M$25,Table1[Customer],$B46)</f>
        <v>0</v>
      </c>
      <c r="N46">
        <f>SUMIFS(Table1[WL],Table1[Month],N$25,Table1[Customer],$B46)</f>
        <v>0</v>
      </c>
      <c r="R46">
        <f>SUM(R39:R43)</f>
        <v>0</v>
      </c>
      <c r="T46">
        <f>SUM(U39:U43)</f>
        <v>0</v>
      </c>
      <c r="V46">
        <f>SUM(X39:X43)</f>
        <v>0</v>
      </c>
      <c r="X46">
        <f>SUM(AA39:AA43)</f>
        <v>0</v>
      </c>
      <c r="Z46">
        <f>SUM(AD39:AD43)</f>
        <v>0</v>
      </c>
      <c r="AB46">
        <f>SUM(AG39:AG43)</f>
        <v>0</v>
      </c>
      <c r="AD46">
        <f>SUM(AJ39:AJ43)</f>
        <v>0</v>
      </c>
      <c r="AF46">
        <f>SUM(AM39:AM43)</f>
        <v>0</v>
      </c>
      <c r="AH46">
        <f>SUM(AP39:AP43)</f>
        <v>0</v>
      </c>
      <c r="AJ46">
        <f>SUM(AS39:AS43)</f>
        <v>0</v>
      </c>
      <c r="AL46">
        <f>SUM(AV39:AV43)</f>
        <v>0</v>
      </c>
      <c r="AN46">
        <f>SUM(AY39:AY43)</f>
        <v>0</v>
      </c>
    </row>
    <row r="47" spans="2:52" x14ac:dyDescent="0.3">
      <c r="B47" s="3" t="e" cm="1">
        <f t="array" ref="B47">INDEX('WL Records'!$C2:$C1686, MATCH(0, COUNTIF($B$38:B46, 'WL Records'!$C2:$C1686), 0))</f>
        <v>#N/A</v>
      </c>
      <c r="C47">
        <f>SUMIFS(Table1[WL],Table1[Month],C$25,Table1[Customer],$B47)</f>
        <v>0</v>
      </c>
      <c r="D47">
        <f>SUMIFS(Table1[WL],Table1[Month],D$25,Table1[Customer],$B47)</f>
        <v>0</v>
      </c>
      <c r="E47">
        <f>SUMIFS(Table1[WL],Table1[Month],E$25,Table1[Customer],$B47)</f>
        <v>0</v>
      </c>
      <c r="F47">
        <f>SUMIFS(Table1[WL],Table1[Month],F$25,Table1[Customer],$B47)</f>
        <v>0</v>
      </c>
      <c r="G47">
        <f>SUMIFS(Table1[WL],Table1[Month],G$25,Table1[Customer],$B47)</f>
        <v>0</v>
      </c>
      <c r="H47">
        <f>SUMIFS(Table1[WL],Table1[Month],H$25,Table1[Customer],$B47)</f>
        <v>0</v>
      </c>
      <c r="I47">
        <f>SUMIFS(Table1[WL],Table1[Month],I$25,Table1[Customer],$B47)</f>
        <v>0</v>
      </c>
      <c r="J47">
        <f>SUMIFS(Table1[WL],Table1[Month],J$25,Table1[Customer],$B47)</f>
        <v>0</v>
      </c>
      <c r="K47">
        <f>SUMIFS(Table1[WL],Table1[Month],K$25,Table1[Customer],$B47)</f>
        <v>0</v>
      </c>
      <c r="L47">
        <f>SUMIFS(Table1[WL],Table1[Month],L$25,Table1[Customer],$B47)</f>
        <v>0</v>
      </c>
      <c r="M47">
        <f>SUMIFS(Table1[WL],Table1[Month],M$25,Table1[Customer],$B47)</f>
        <v>0</v>
      </c>
      <c r="N47">
        <f>SUMIFS(Table1[WL],Table1[Month],N$25,Table1[Customer],$B47)</f>
        <v>0</v>
      </c>
      <c r="R47" t="b">
        <f>R46=C37</f>
        <v>1</v>
      </c>
      <c r="T47" t="b">
        <f>T46=D37</f>
        <v>1</v>
      </c>
      <c r="V47" t="b">
        <f>V46=E37</f>
        <v>1</v>
      </c>
      <c r="X47" t="b">
        <f>X46=F37</f>
        <v>1</v>
      </c>
      <c r="Z47" t="b">
        <f>Z46=G37</f>
        <v>1</v>
      </c>
      <c r="AB47" t="b">
        <f>AB46=H37</f>
        <v>1</v>
      </c>
      <c r="AD47" t="b">
        <f>AD46=I37</f>
        <v>1</v>
      </c>
      <c r="AF47" t="b">
        <f>AF46=J37</f>
        <v>1</v>
      </c>
      <c r="AH47" t="b">
        <f>AH46=K37</f>
        <v>1</v>
      </c>
      <c r="AJ47" t="b">
        <f>AJ46=L37</f>
        <v>1</v>
      </c>
      <c r="AL47" t="b">
        <f>AL46=M37</f>
        <v>1</v>
      </c>
      <c r="AN47" t="b">
        <f>AN46=N37</f>
        <v>1</v>
      </c>
    </row>
    <row r="48" spans="2:52" x14ac:dyDescent="0.3">
      <c r="B48" s="3" t="e" cm="1">
        <f t="array" ref="B48">INDEX('WL Records'!$C2:$C1687, MATCH(0, COUNTIF($B$38:B47, 'WL Records'!$C2:$C1687), 0))</f>
        <v>#N/A</v>
      </c>
      <c r="C48">
        <f>SUMIFS(Table1[WL],Table1[Month],C$25,Table1[Customer],$B48)</f>
        <v>0</v>
      </c>
      <c r="D48">
        <f>SUMIFS(Table1[WL],Table1[Month],D$25,Table1[Customer],$B48)</f>
        <v>0</v>
      </c>
      <c r="E48">
        <f>SUMIFS(Table1[WL],Table1[Month],E$25,Table1[Customer],$B48)</f>
        <v>0</v>
      </c>
      <c r="F48">
        <f>SUMIFS(Table1[WL],Table1[Month],F$25,Table1[Customer],$B48)</f>
        <v>0</v>
      </c>
      <c r="G48">
        <f>SUMIFS(Table1[WL],Table1[Month],G$25,Table1[Customer],$B48)</f>
        <v>0</v>
      </c>
      <c r="H48">
        <f>SUMIFS(Table1[WL],Table1[Month],H$25,Table1[Customer],$B48)</f>
        <v>0</v>
      </c>
      <c r="I48">
        <f>SUMIFS(Table1[WL],Table1[Month],I$25,Table1[Customer],$B48)</f>
        <v>0</v>
      </c>
      <c r="J48">
        <f>SUMIFS(Table1[WL],Table1[Month],J$25,Table1[Customer],$B48)</f>
        <v>0</v>
      </c>
      <c r="K48">
        <f>SUMIFS(Table1[WL],Table1[Month],K$25,Table1[Customer],$B48)</f>
        <v>0</v>
      </c>
      <c r="L48">
        <f>SUMIFS(Table1[WL],Table1[Month],L$25,Table1[Customer],$B48)</f>
        <v>0</v>
      </c>
      <c r="M48">
        <f>SUMIFS(Table1[WL],Table1[Month],M$25,Table1[Customer],$B48)</f>
        <v>0</v>
      </c>
      <c r="N48">
        <f>SUMIFS(Table1[WL],Table1[Month],N$25,Table1[Customer],$B48)</f>
        <v>0</v>
      </c>
    </row>
    <row r="49" spans="2:18" x14ac:dyDescent="0.3">
      <c r="B49" s="3" t="e" cm="1">
        <f t="array" ref="B49">INDEX('WL Records'!$C2:$C1688, MATCH(0, COUNTIF($B$38:B48, 'WL Records'!$C2:$C1688), 0))</f>
        <v>#N/A</v>
      </c>
      <c r="C49">
        <f>SUMIFS(Table1[WL],Table1[Month],C$25,Table1[Customer],$B49)</f>
        <v>0</v>
      </c>
      <c r="D49">
        <f>SUMIFS(Table1[WL],Table1[Month],D$25,Table1[Customer],$B49)</f>
        <v>0</v>
      </c>
      <c r="E49">
        <f>SUMIFS(Table1[WL],Table1[Month],E$25,Table1[Customer],$B49)</f>
        <v>0</v>
      </c>
      <c r="F49">
        <f>SUMIFS(Table1[WL],Table1[Month],F$25,Table1[Customer],$B49)</f>
        <v>0</v>
      </c>
      <c r="G49">
        <f>SUMIFS(Table1[WL],Table1[Month],G$25,Table1[Customer],$B49)</f>
        <v>0</v>
      </c>
      <c r="H49">
        <f>SUMIFS(Table1[WL],Table1[Month],H$25,Table1[Customer],$B49)</f>
        <v>0</v>
      </c>
      <c r="I49">
        <f>SUMIFS(Table1[WL],Table1[Month],I$25,Table1[Customer],$B49)</f>
        <v>0</v>
      </c>
      <c r="J49">
        <f>SUMIFS(Table1[WL],Table1[Month],J$25,Table1[Customer],$B49)</f>
        <v>0</v>
      </c>
      <c r="K49">
        <f>SUMIFS(Table1[WL],Table1[Month],K$25,Table1[Customer],$B49)</f>
        <v>0</v>
      </c>
      <c r="L49">
        <f>SUMIFS(Table1[WL],Table1[Month],L$25,Table1[Customer],$B49)</f>
        <v>0</v>
      </c>
      <c r="M49">
        <f>SUMIFS(Table1[WL],Table1[Month],M$25,Table1[Customer],$B49)</f>
        <v>0</v>
      </c>
      <c r="N49">
        <f>SUMIFS(Table1[WL],Table1[Month],N$25,Table1[Customer],$B49)</f>
        <v>0</v>
      </c>
      <c r="R49" t="b">
        <v>1</v>
      </c>
    </row>
    <row r="50" spans="2:18" x14ac:dyDescent="0.3">
      <c r="B50" s="3" t="e" cm="1">
        <f t="array" ref="B50">INDEX('WL Records'!$C2:$C1689, MATCH(0, COUNTIF($B$38:B49, 'WL Records'!$C2:$C1689), 0))</f>
        <v>#N/A</v>
      </c>
      <c r="C50">
        <f>SUMIFS(Table1[WL],Table1[Month],C$25,Table1[Customer],$B50)</f>
        <v>0</v>
      </c>
      <c r="D50">
        <f>SUMIFS(Table1[WL],Table1[Month],D$25,Table1[Customer],$B50)</f>
        <v>0</v>
      </c>
      <c r="E50">
        <f>SUMIFS(Table1[WL],Table1[Month],E$25,Table1[Customer],$B50)</f>
        <v>0</v>
      </c>
      <c r="F50">
        <f>SUMIFS(Table1[WL],Table1[Month],F$25,Table1[Customer],$B50)</f>
        <v>0</v>
      </c>
      <c r="G50">
        <f>SUMIFS(Table1[WL],Table1[Month],G$25,Table1[Customer],$B50)</f>
        <v>0</v>
      </c>
      <c r="H50">
        <f>SUMIFS(Table1[WL],Table1[Month],H$25,Table1[Customer],$B50)</f>
        <v>0</v>
      </c>
      <c r="I50">
        <f>SUMIFS(Table1[WL],Table1[Month],I$25,Table1[Customer],$B50)</f>
        <v>0</v>
      </c>
      <c r="J50">
        <f>SUMIFS(Table1[WL],Table1[Month],J$25,Table1[Customer],$B50)</f>
        <v>0</v>
      </c>
      <c r="K50">
        <f>SUMIFS(Table1[WL],Table1[Month],K$25,Table1[Customer],$B50)</f>
        <v>0</v>
      </c>
      <c r="L50">
        <f>SUMIFS(Table1[WL],Table1[Month],L$25,Table1[Customer],$B50)</f>
        <v>0</v>
      </c>
      <c r="M50">
        <f>SUMIFS(Table1[WL],Table1[Month],M$25,Table1[Customer],$B50)</f>
        <v>0</v>
      </c>
      <c r="N50">
        <f>SUMIFS(Table1[WL],Table1[Month],N$25,Table1[Customer],$B50)</f>
        <v>0</v>
      </c>
    </row>
    <row r="51" spans="2:18" x14ac:dyDescent="0.3">
      <c r="B51" s="3" t="e" cm="1">
        <f t="array" ref="B51">INDEX('WL Records'!$C2:$C1690, MATCH(0, COUNTIF($B$38:B50, 'WL Records'!$C2:$C1690), 0))</f>
        <v>#N/A</v>
      </c>
      <c r="C51">
        <f>SUMIFS(Table1[WL],Table1[Month],C$25,Table1[Customer],$B51)</f>
        <v>0</v>
      </c>
      <c r="D51">
        <f>SUMIFS(Table1[WL],Table1[Month],D$25,Table1[Customer],$B51)</f>
        <v>0</v>
      </c>
      <c r="E51">
        <f>SUMIFS(Table1[WL],Table1[Month],E$25,Table1[Customer],$B51)</f>
        <v>0</v>
      </c>
      <c r="F51">
        <f>SUMIFS(Table1[WL],Table1[Month],F$25,Table1[Customer],$B51)</f>
        <v>0</v>
      </c>
      <c r="G51">
        <f>SUMIFS(Table1[WL],Table1[Month],G$25,Table1[Customer],$B51)</f>
        <v>0</v>
      </c>
      <c r="H51">
        <f>SUMIFS(Table1[WL],Table1[Month],H$25,Table1[Customer],$B51)</f>
        <v>0</v>
      </c>
      <c r="I51">
        <f>SUMIFS(Table1[WL],Table1[Month],I$25,Table1[Customer],$B51)</f>
        <v>0</v>
      </c>
      <c r="J51">
        <f>SUMIFS(Table1[WL],Table1[Month],J$25,Table1[Customer],$B51)</f>
        <v>0</v>
      </c>
      <c r="K51">
        <f>SUMIFS(Table1[WL],Table1[Month],K$25,Table1[Customer],$B51)</f>
        <v>0</v>
      </c>
      <c r="L51">
        <f>SUMIFS(Table1[WL],Table1[Month],L$25,Table1[Customer],$B51)</f>
        <v>0</v>
      </c>
      <c r="M51">
        <f>SUMIFS(Table1[WL],Table1[Month],M$25,Table1[Customer],$B51)</f>
        <v>0</v>
      </c>
      <c r="N51">
        <f>SUMIFS(Table1[WL],Table1[Month],N$25,Table1[Customer],$B51)</f>
        <v>0</v>
      </c>
    </row>
    <row r="52" spans="2:18" x14ac:dyDescent="0.3">
      <c r="B52" s="3" t="e" cm="1">
        <f t="array" ref="B52">INDEX('WL Records'!$C2:$C1691, MATCH(0, COUNTIF($B$38:B51, 'WL Records'!$C2:$C1691), 0))</f>
        <v>#N/A</v>
      </c>
      <c r="C52">
        <f>SUMIFS(Table1[WL],Table1[Month],C$25,Table1[Customer],$B52)</f>
        <v>0</v>
      </c>
      <c r="D52">
        <f>SUMIFS(Table1[WL],Table1[Month],D$25,Table1[Customer],$B52)</f>
        <v>0</v>
      </c>
      <c r="E52">
        <f>SUMIFS(Table1[WL],Table1[Month],E$25,Table1[Customer],$B52)</f>
        <v>0</v>
      </c>
      <c r="F52">
        <f>SUMIFS(Table1[WL],Table1[Month],F$25,Table1[Customer],$B52)</f>
        <v>0</v>
      </c>
      <c r="G52">
        <f>SUMIFS(Table1[WL],Table1[Month],G$25,Table1[Customer],$B52)</f>
        <v>0</v>
      </c>
      <c r="H52">
        <f>SUMIFS(Table1[WL],Table1[Month],H$25,Table1[Customer],$B52)</f>
        <v>0</v>
      </c>
      <c r="I52">
        <f>SUMIFS(Table1[WL],Table1[Month],I$25,Table1[Customer],$B52)</f>
        <v>0</v>
      </c>
      <c r="J52">
        <f>SUMIFS(Table1[WL],Table1[Month],J$25,Table1[Customer],$B52)</f>
        <v>0</v>
      </c>
      <c r="K52">
        <f>SUMIFS(Table1[WL],Table1[Month],K$25,Table1[Customer],$B52)</f>
        <v>0</v>
      </c>
      <c r="L52">
        <f>SUMIFS(Table1[WL],Table1[Month],L$25,Table1[Customer],$B52)</f>
        <v>0</v>
      </c>
      <c r="M52">
        <f>SUMIFS(Table1[WL],Table1[Month],M$25,Table1[Customer],$B52)</f>
        <v>0</v>
      </c>
      <c r="N52">
        <f>SUMIFS(Table1[WL],Table1[Month],N$25,Table1[Customer],$B52)</f>
        <v>0</v>
      </c>
    </row>
    <row r="53" spans="2:18" x14ac:dyDescent="0.3">
      <c r="B53" s="3" t="e" cm="1">
        <f t="array" ref="B53">INDEX('WL Records'!$C2:$C1692, MATCH(0, COUNTIF($B$38:B52, 'WL Records'!$C2:$C1692), 0))</f>
        <v>#N/A</v>
      </c>
      <c r="C53">
        <f>SUMIFS(Table1[WL],Table1[Month],C$25,Table1[Customer],$B53)</f>
        <v>0</v>
      </c>
      <c r="D53">
        <f>SUMIFS(Table1[WL],Table1[Month],D$25,Table1[Customer],$B53)</f>
        <v>0</v>
      </c>
      <c r="E53">
        <f>SUMIFS(Table1[WL],Table1[Month],E$25,Table1[Customer],$B53)</f>
        <v>0</v>
      </c>
      <c r="F53">
        <f>SUMIFS(Table1[WL],Table1[Month],F$25,Table1[Customer],$B53)</f>
        <v>0</v>
      </c>
      <c r="G53">
        <f>SUMIFS(Table1[WL],Table1[Month],G$25,Table1[Customer],$B53)</f>
        <v>0</v>
      </c>
      <c r="H53">
        <f>SUMIFS(Table1[WL],Table1[Month],H$25,Table1[Customer],$B53)</f>
        <v>0</v>
      </c>
      <c r="I53">
        <f>SUMIFS(Table1[WL],Table1[Month],I$25,Table1[Customer],$B53)</f>
        <v>0</v>
      </c>
      <c r="J53">
        <f>SUMIFS(Table1[WL],Table1[Month],J$25,Table1[Customer],$B53)</f>
        <v>0</v>
      </c>
      <c r="K53">
        <f>SUMIFS(Table1[WL],Table1[Month],K$25,Table1[Customer],$B53)</f>
        <v>0</v>
      </c>
      <c r="L53">
        <f>SUMIFS(Table1[WL],Table1[Month],L$25,Table1[Customer],$B53)</f>
        <v>0</v>
      </c>
      <c r="M53">
        <f>SUMIFS(Table1[WL],Table1[Month],M$25,Table1[Customer],$B53)</f>
        <v>0</v>
      </c>
      <c r="N53">
        <f>SUMIFS(Table1[WL],Table1[Month],N$25,Table1[Customer],$B53)</f>
        <v>0</v>
      </c>
    </row>
    <row r="54" spans="2:18" x14ac:dyDescent="0.3">
      <c r="B54" s="3" t="e" cm="1">
        <f t="array" ref="B54">INDEX('WL Records'!$C2:$C1693, MATCH(0, COUNTIF($B$38:B53, 'WL Records'!$C2:$C1693), 0))</f>
        <v>#N/A</v>
      </c>
      <c r="C54">
        <f>SUMIFS(Table1[WL],Table1[Month],C$25,Table1[Customer],$B54)</f>
        <v>0</v>
      </c>
      <c r="D54">
        <f>SUMIFS(Table1[WL],Table1[Month],D$25,Table1[Customer],$B54)</f>
        <v>0</v>
      </c>
      <c r="E54">
        <f>SUMIFS(Table1[WL],Table1[Month],E$25,Table1[Customer],$B54)</f>
        <v>0</v>
      </c>
      <c r="F54">
        <f>SUMIFS(Table1[WL],Table1[Month],F$25,Table1[Customer],$B54)</f>
        <v>0</v>
      </c>
      <c r="G54">
        <f>SUMIFS(Table1[WL],Table1[Month],G$25,Table1[Customer],$B54)</f>
        <v>0</v>
      </c>
      <c r="H54">
        <f>SUMIFS(Table1[WL],Table1[Month],H$25,Table1[Customer],$B54)</f>
        <v>0</v>
      </c>
      <c r="I54">
        <f>SUMIFS(Table1[WL],Table1[Month],I$25,Table1[Customer],$B54)</f>
        <v>0</v>
      </c>
      <c r="J54">
        <f>SUMIFS(Table1[WL],Table1[Month],J$25,Table1[Customer],$B54)</f>
        <v>0</v>
      </c>
      <c r="K54">
        <f>SUMIFS(Table1[WL],Table1[Month],K$25,Table1[Customer],$B54)</f>
        <v>0</v>
      </c>
      <c r="L54">
        <f>SUMIFS(Table1[WL],Table1[Month],L$25,Table1[Customer],$B54)</f>
        <v>0</v>
      </c>
      <c r="M54">
        <f>SUMIFS(Table1[WL],Table1[Month],M$25,Table1[Customer],$B54)</f>
        <v>0</v>
      </c>
      <c r="N54">
        <f>SUMIFS(Table1[WL],Table1[Month],N$25,Table1[Customer],$B54)</f>
        <v>0</v>
      </c>
    </row>
    <row r="55" spans="2:18" x14ac:dyDescent="0.3">
      <c r="B55" s="3" t="e" cm="1">
        <f t="array" ref="B55">INDEX('WL Records'!$C2:$C1694, MATCH(0, COUNTIF($B$38:B54, 'WL Records'!$C2:$C1694), 0))</f>
        <v>#N/A</v>
      </c>
      <c r="C55">
        <f>SUMIFS(Table1[WL],Table1[Month],C$25,Table1[Customer],$B55)</f>
        <v>0</v>
      </c>
      <c r="D55">
        <f>SUMIFS(Table1[WL],Table1[Month],D$25,Table1[Customer],$B55)</f>
        <v>0</v>
      </c>
      <c r="E55">
        <f>SUMIFS(Table1[WL],Table1[Month],E$25,Table1[Customer],$B55)</f>
        <v>0</v>
      </c>
      <c r="F55">
        <f>SUMIFS(Table1[WL],Table1[Month],F$25,Table1[Customer],$B55)</f>
        <v>0</v>
      </c>
      <c r="G55">
        <f>SUMIFS(Table1[WL],Table1[Month],G$25,Table1[Customer],$B55)</f>
        <v>0</v>
      </c>
      <c r="H55">
        <f>SUMIFS(Table1[WL],Table1[Month],H$25,Table1[Customer],$B55)</f>
        <v>0</v>
      </c>
      <c r="I55">
        <f>SUMIFS(Table1[WL],Table1[Month],I$25,Table1[Customer],$B55)</f>
        <v>0</v>
      </c>
      <c r="J55">
        <f>SUMIFS(Table1[WL],Table1[Month],J$25,Table1[Customer],$B55)</f>
        <v>0</v>
      </c>
      <c r="K55">
        <f>SUMIFS(Table1[WL],Table1[Month],K$25,Table1[Customer],$B55)</f>
        <v>0</v>
      </c>
      <c r="L55">
        <f>SUMIFS(Table1[WL],Table1[Month],L$25,Table1[Customer],$B55)</f>
        <v>0</v>
      </c>
      <c r="M55">
        <f>SUMIFS(Table1[WL],Table1[Month],M$25,Table1[Customer],$B55)</f>
        <v>0</v>
      </c>
      <c r="N55">
        <f>SUMIFS(Table1[WL],Table1[Month],N$25,Table1[Customer],$B55)</f>
        <v>0</v>
      </c>
    </row>
    <row r="56" spans="2:18" x14ac:dyDescent="0.3">
      <c r="B56" s="3" t="e" cm="1">
        <f t="array" ref="B56">INDEX('WL Records'!$C2:$C1695, MATCH(0, COUNTIF($B$38:B55, 'WL Records'!$C2:$C1695), 0))</f>
        <v>#N/A</v>
      </c>
      <c r="C56">
        <f>SUMIFS(Table1[WL],Table1[Month],C$25,Table1[Customer],$B56)</f>
        <v>0</v>
      </c>
      <c r="D56">
        <f>SUMIFS(Table1[WL],Table1[Month],D$25,Table1[Customer],$B56)</f>
        <v>0</v>
      </c>
      <c r="E56">
        <f>SUMIFS(Table1[WL],Table1[Month],E$25,Table1[Customer],$B56)</f>
        <v>0</v>
      </c>
      <c r="F56">
        <f>SUMIFS(Table1[WL],Table1[Month],F$25,Table1[Customer],$B56)</f>
        <v>0</v>
      </c>
      <c r="G56">
        <f>SUMIFS(Table1[WL],Table1[Month],G$25,Table1[Customer],$B56)</f>
        <v>0</v>
      </c>
      <c r="H56">
        <f>SUMIFS(Table1[WL],Table1[Month],H$25,Table1[Customer],$B56)</f>
        <v>0</v>
      </c>
      <c r="I56">
        <f>SUMIFS(Table1[WL],Table1[Month],I$25,Table1[Customer],$B56)</f>
        <v>0</v>
      </c>
      <c r="J56">
        <f>SUMIFS(Table1[WL],Table1[Month],J$25,Table1[Customer],$B56)</f>
        <v>0</v>
      </c>
      <c r="K56">
        <f>SUMIFS(Table1[WL],Table1[Month],K$25,Table1[Customer],$B56)</f>
        <v>0</v>
      </c>
      <c r="L56">
        <f>SUMIFS(Table1[WL],Table1[Month],L$25,Table1[Customer],$B56)</f>
        <v>0</v>
      </c>
      <c r="M56">
        <f>SUMIFS(Table1[WL],Table1[Month],M$25,Table1[Customer],$B56)</f>
        <v>0</v>
      </c>
      <c r="N56">
        <f>SUMIFS(Table1[WL],Table1[Month],N$25,Table1[Customer],$B56)</f>
        <v>0</v>
      </c>
      <c r="R56">
        <f>160*7</f>
        <v>1120</v>
      </c>
    </row>
    <row r="57" spans="2:18" x14ac:dyDescent="0.3">
      <c r="B57" s="3" t="e" cm="1">
        <f t="array" ref="B57">INDEX('WL Records'!$C2:$C1696, MATCH(0, COUNTIF($B$38:B56, 'WL Records'!$C2:$C1696), 0))</f>
        <v>#N/A</v>
      </c>
      <c r="C57">
        <f>SUMIFS(Table1[WL],Table1[Month],C$25,Table1[Customer],$B57)</f>
        <v>0</v>
      </c>
      <c r="D57">
        <f>SUMIFS(Table1[WL],Table1[Month],D$25,Table1[Customer],$B57)</f>
        <v>0</v>
      </c>
      <c r="E57">
        <f>SUMIFS(Table1[WL],Table1[Month],E$25,Table1[Customer],$B57)</f>
        <v>0</v>
      </c>
      <c r="F57">
        <f>SUMIFS(Table1[WL],Table1[Month],F$25,Table1[Customer],$B57)</f>
        <v>0</v>
      </c>
      <c r="G57">
        <f>SUMIFS(Table1[WL],Table1[Month],G$25,Table1[Customer],$B57)</f>
        <v>0</v>
      </c>
      <c r="H57">
        <f>SUMIFS(Table1[WL],Table1[Month],H$25,Table1[Customer],$B57)</f>
        <v>0</v>
      </c>
      <c r="I57">
        <f>SUMIFS(Table1[WL],Table1[Month],I$25,Table1[Customer],$B57)</f>
        <v>0</v>
      </c>
      <c r="J57">
        <f>SUMIFS(Table1[WL],Table1[Month],J$25,Table1[Customer],$B57)</f>
        <v>0</v>
      </c>
      <c r="K57">
        <f>SUMIFS(Table1[WL],Table1[Month],K$25,Table1[Customer],$B57)</f>
        <v>0</v>
      </c>
      <c r="L57">
        <f>SUMIFS(Table1[WL],Table1[Month],L$25,Table1[Customer],$B57)</f>
        <v>0</v>
      </c>
      <c r="M57">
        <f>SUMIFS(Table1[WL],Table1[Month],M$25,Table1[Customer],$B57)</f>
        <v>0</v>
      </c>
      <c r="N57">
        <f>SUMIFS(Table1[WL],Table1[Month],N$25,Table1[Customer],$B57)</f>
        <v>0</v>
      </c>
      <c r="P57">
        <f>R56/4</f>
        <v>280</v>
      </c>
      <c r="R57">
        <f>SUM(C15:C21)</f>
        <v>0</v>
      </c>
    </row>
    <row r="58" spans="2:18" x14ac:dyDescent="0.3">
      <c r="B58" s="3" t="e" cm="1">
        <f t="array" ref="B58">INDEX('WL Records'!$C2:$C1697, MATCH(0, COUNTIF($B$38:B57, 'WL Records'!$C2:$C1697), 0))</f>
        <v>#N/A</v>
      </c>
      <c r="C58">
        <f>SUMIFS(Table1[WL],Table1[Month],C$25,Table1[Customer],$B58)</f>
        <v>0</v>
      </c>
      <c r="D58">
        <f>SUMIFS(Table1[WL],Table1[Month],D$25,Table1[Customer],$B58)</f>
        <v>0</v>
      </c>
      <c r="E58">
        <f>SUMIFS(Table1[WL],Table1[Month],E$25,Table1[Customer],$B58)</f>
        <v>0</v>
      </c>
      <c r="F58">
        <f>SUMIFS(Table1[WL],Table1[Month],F$25,Table1[Customer],$B58)</f>
        <v>0</v>
      </c>
      <c r="G58">
        <f>SUMIFS(Table1[WL],Table1[Month],G$25,Table1[Customer],$B58)</f>
        <v>0</v>
      </c>
      <c r="H58">
        <f>SUMIFS(Table1[WL],Table1[Month],H$25,Table1[Customer],$B58)</f>
        <v>0</v>
      </c>
      <c r="I58">
        <f>SUMIFS(Table1[WL],Table1[Month],I$25,Table1[Customer],$B58)</f>
        <v>0</v>
      </c>
      <c r="J58">
        <f>SUMIFS(Table1[WL],Table1[Month],J$25,Table1[Customer],$B58)</f>
        <v>0</v>
      </c>
      <c r="K58">
        <f>SUMIFS(Table1[WL],Table1[Month],K$25,Table1[Customer],$B58)</f>
        <v>0</v>
      </c>
      <c r="L58">
        <f>SUMIFS(Table1[WL],Table1[Month],L$25,Table1[Customer],$B58)</f>
        <v>0</v>
      </c>
      <c r="M58">
        <f>SUMIFS(Table1[WL],Table1[Month],M$25,Table1[Customer],$B58)</f>
        <v>0</v>
      </c>
      <c r="N58">
        <f>SUMIFS(Table1[WL],Table1[Month],N$25,Table1[Customer],$B58)</f>
        <v>0</v>
      </c>
      <c r="P58">
        <f>P57/R56</f>
        <v>0.25</v>
      </c>
      <c r="R58" s="31">
        <f>R57/R56</f>
        <v>0</v>
      </c>
    </row>
    <row r="59" spans="2:18" x14ac:dyDescent="0.3">
      <c r="B59" s="3" t="e" cm="1">
        <f t="array" ref="B59">INDEX('WL Records'!$C2:$C1698, MATCH(0, COUNTIF($B$38:B58, 'WL Records'!$C2:$C1698), 0))</f>
        <v>#N/A</v>
      </c>
      <c r="C59">
        <f>SUMIFS(Table1[WL],Table1[Month],C$25,Table1[Customer],$B59)</f>
        <v>0</v>
      </c>
      <c r="D59">
        <f>SUMIFS(Table1[WL],Table1[Month],D$25,Table1[Customer],$B59)</f>
        <v>0</v>
      </c>
      <c r="E59">
        <f>SUMIFS(Table1[WL],Table1[Month],E$25,Table1[Customer],$B59)</f>
        <v>0</v>
      </c>
      <c r="F59">
        <f>SUMIFS(Table1[WL],Table1[Month],F$25,Table1[Customer],$B59)</f>
        <v>0</v>
      </c>
      <c r="G59">
        <f>SUMIFS(Table1[WL],Table1[Month],G$25,Table1[Customer],$B59)</f>
        <v>0</v>
      </c>
      <c r="H59">
        <f>SUMIFS(Table1[WL],Table1[Month],H$25,Table1[Customer],$B59)</f>
        <v>0</v>
      </c>
      <c r="I59">
        <f>SUMIFS(Table1[WL],Table1[Month],I$25,Table1[Customer],$B59)</f>
        <v>0</v>
      </c>
      <c r="J59">
        <f>SUMIFS(Table1[WL],Table1[Month],J$25,Table1[Customer],$B59)</f>
        <v>0</v>
      </c>
      <c r="K59">
        <f>SUMIFS(Table1[WL],Table1[Month],K$25,Table1[Customer],$B59)</f>
        <v>0</v>
      </c>
      <c r="L59">
        <f>SUMIFS(Table1[WL],Table1[Month],L$25,Table1[Customer],$B59)</f>
        <v>0</v>
      </c>
      <c r="M59">
        <f>SUMIFS(Table1[WL],Table1[Month],M$25,Table1[Customer],$B59)</f>
        <v>0</v>
      </c>
      <c r="N59">
        <f>SUMIFS(Table1[WL],Table1[Month],N$25,Table1[Customer],$B59)</f>
        <v>0</v>
      </c>
    </row>
    <row r="60" spans="2:18" x14ac:dyDescent="0.3">
      <c r="B60" s="3" t="e" cm="1">
        <f t="array" ref="B60">INDEX('WL Records'!$C2:$C1699, MATCH(0, COUNTIF($B$38:B59, 'WL Records'!$C2:$C1699), 0))</f>
        <v>#N/A</v>
      </c>
      <c r="C60">
        <f>SUMIFS(Table1[WL],Table1[Month],C$25,Table1[Customer],$B60)</f>
        <v>0</v>
      </c>
      <c r="D60">
        <f>SUMIFS(Table1[WL],Table1[Month],D$25,Table1[Customer],$B60)</f>
        <v>0</v>
      </c>
      <c r="E60">
        <f>SUMIFS(Table1[WL],Table1[Month],E$25,Table1[Customer],$B60)</f>
        <v>0</v>
      </c>
      <c r="F60">
        <f>SUMIFS(Table1[WL],Table1[Month],F$25,Table1[Customer],$B60)</f>
        <v>0</v>
      </c>
      <c r="G60">
        <f>SUMIFS(Table1[WL],Table1[Month],G$25,Table1[Customer],$B60)</f>
        <v>0</v>
      </c>
      <c r="H60">
        <f>SUMIFS(Table1[WL],Table1[Month],H$25,Table1[Customer],$B60)</f>
        <v>0</v>
      </c>
      <c r="I60">
        <f>SUMIFS(Table1[WL],Table1[Month],I$25,Table1[Customer],$B60)</f>
        <v>0</v>
      </c>
      <c r="J60">
        <f>SUMIFS(Table1[WL],Table1[Month],J$25,Table1[Customer],$B60)</f>
        <v>0</v>
      </c>
      <c r="K60">
        <f>SUMIFS(Table1[WL],Table1[Month],K$25,Table1[Customer],$B60)</f>
        <v>0</v>
      </c>
      <c r="L60">
        <f>SUMIFS(Table1[WL],Table1[Month],L$25,Table1[Customer],$B60)</f>
        <v>0</v>
      </c>
      <c r="M60">
        <f>SUMIFS(Table1[WL],Table1[Month],M$25,Table1[Customer],$B60)</f>
        <v>0</v>
      </c>
      <c r="N60">
        <f>SUMIFS(Table1[WL],Table1[Month],N$25,Table1[Customer],$B60)</f>
        <v>0</v>
      </c>
      <c r="Q60" t="s">
        <v>40</v>
      </c>
    </row>
    <row r="61" spans="2:18" x14ac:dyDescent="0.3">
      <c r="B61" s="3" t="e" cm="1">
        <f t="array" ref="B61">INDEX('WL Records'!$C2:$C1700, MATCH(0, COUNTIF($B$38:B60, 'WL Records'!$C2:$C1700), 0))</f>
        <v>#N/A</v>
      </c>
      <c r="C61">
        <f>SUMIFS(Table1[WL],Table1[Month],C$25,Table1[Customer],$B61)</f>
        <v>0</v>
      </c>
      <c r="D61">
        <f>SUMIFS(Table1[WL],Table1[Month],D$25,Table1[Customer],$B61)</f>
        <v>0</v>
      </c>
      <c r="E61">
        <f>SUMIFS(Table1[WL],Table1[Month],E$25,Table1[Customer],$B61)</f>
        <v>0</v>
      </c>
      <c r="F61">
        <f>SUMIFS(Table1[WL],Table1[Month],F$25,Table1[Customer],$B61)</f>
        <v>0</v>
      </c>
      <c r="G61">
        <f>SUMIFS(Table1[WL],Table1[Month],G$25,Table1[Customer],$B61)</f>
        <v>0</v>
      </c>
      <c r="H61">
        <f>SUMIFS(Table1[WL],Table1[Month],H$25,Table1[Customer],$B61)</f>
        <v>0</v>
      </c>
      <c r="I61">
        <f>SUMIFS(Table1[WL],Table1[Month],I$25,Table1[Customer],$B61)</f>
        <v>0</v>
      </c>
      <c r="J61">
        <f>SUMIFS(Table1[WL],Table1[Month],J$25,Table1[Customer],$B61)</f>
        <v>0</v>
      </c>
      <c r="K61">
        <f>SUMIFS(Table1[WL],Table1[Month],K$25,Table1[Customer],$B61)</f>
        <v>0</v>
      </c>
      <c r="L61">
        <f>SUMIFS(Table1[WL],Table1[Month],L$25,Table1[Customer],$B61)</f>
        <v>0</v>
      </c>
      <c r="M61">
        <f>SUMIFS(Table1[WL],Table1[Month],M$25,Table1[Customer],$B61)</f>
        <v>0</v>
      </c>
      <c r="N61">
        <f>SUMIFS(Table1[WL],Table1[Month],N$25,Table1[Customer],$B61)</f>
        <v>0</v>
      </c>
      <c r="Q61">
        <v>50</v>
      </c>
      <c r="R61">
        <f>R58*100-2</f>
        <v>-2</v>
      </c>
    </row>
    <row r="62" spans="2:18" x14ac:dyDescent="0.3">
      <c r="B62" s="3" t="e" cm="1">
        <f t="array" ref="B62">INDEX('WL Records'!$C2:$C1701, MATCH(0, COUNTIF($B$38:B61, 'WL Records'!$C2:$C1701), 0))</f>
        <v>#N/A</v>
      </c>
      <c r="C62">
        <f>SUMIFS(Table1[WL],Table1[Month],C$25,Table1[Customer],$B62)</f>
        <v>0</v>
      </c>
      <c r="D62">
        <f>SUMIFS(Table1[WL],Table1[Month],D$25,Table1[Customer],$B62)</f>
        <v>0</v>
      </c>
      <c r="E62">
        <f>SUMIFS(Table1[WL],Table1[Month],E$25,Table1[Customer],$B62)</f>
        <v>0</v>
      </c>
      <c r="F62">
        <f>SUMIFS(Table1[WL],Table1[Month],F$25,Table1[Customer],$B62)</f>
        <v>0</v>
      </c>
      <c r="G62">
        <f>SUMIFS(Table1[WL],Table1[Month],G$25,Table1[Customer],$B62)</f>
        <v>0</v>
      </c>
      <c r="H62">
        <f>SUMIFS(Table1[WL],Table1[Month],H$25,Table1[Customer],$B62)</f>
        <v>0</v>
      </c>
      <c r="I62">
        <f>SUMIFS(Table1[WL],Table1[Month],I$25,Table1[Customer],$B62)</f>
        <v>0</v>
      </c>
      <c r="J62">
        <f>SUMIFS(Table1[WL],Table1[Month],J$25,Table1[Customer],$B62)</f>
        <v>0</v>
      </c>
      <c r="K62">
        <f>SUMIFS(Table1[WL],Table1[Month],K$25,Table1[Customer],$B62)</f>
        <v>0</v>
      </c>
      <c r="L62">
        <f>SUMIFS(Table1[WL],Table1[Month],L$25,Table1[Customer],$B62)</f>
        <v>0</v>
      </c>
      <c r="M62">
        <f>SUMIFS(Table1[WL],Table1[Month],M$25,Table1[Customer],$B62)</f>
        <v>0</v>
      </c>
      <c r="N62">
        <f>SUMIFS(Table1[WL],Table1[Month],N$25,Table1[Customer],$B62)</f>
        <v>0</v>
      </c>
      <c r="Q62">
        <v>20</v>
      </c>
      <c r="R62">
        <v>2</v>
      </c>
    </row>
    <row r="63" spans="2:18" x14ac:dyDescent="0.3">
      <c r="B63" s="3" t="e" cm="1">
        <f t="array" ref="B63">INDEX('WL Records'!$C2:$C1702, MATCH(0, COUNTIF($B$38:B62, 'WL Records'!$C2:$C1702), 0))</f>
        <v>#N/A</v>
      </c>
      <c r="C63">
        <f>SUMIFS(Table1[WL],Table1[Month],C$25,Table1[Customer],$B63)</f>
        <v>0</v>
      </c>
      <c r="D63">
        <f>SUMIFS(Table1[WL],Table1[Month],D$25,Table1[Customer],$B63)</f>
        <v>0</v>
      </c>
      <c r="E63">
        <f>SUMIFS(Table1[WL],Table1[Month],E$25,Table1[Customer],$B63)</f>
        <v>0</v>
      </c>
      <c r="F63">
        <f>SUMIFS(Table1[WL],Table1[Month],F$25,Table1[Customer],$B63)</f>
        <v>0</v>
      </c>
      <c r="G63">
        <f>SUMIFS(Table1[WL],Table1[Month],G$25,Table1[Customer],$B63)</f>
        <v>0</v>
      </c>
      <c r="H63">
        <f>SUMIFS(Table1[WL],Table1[Month],H$25,Table1[Customer],$B63)</f>
        <v>0</v>
      </c>
      <c r="I63">
        <f>SUMIFS(Table1[WL],Table1[Month],I$25,Table1[Customer],$B63)</f>
        <v>0</v>
      </c>
      <c r="J63">
        <f>SUMIFS(Table1[WL],Table1[Month],J$25,Table1[Customer],$B63)</f>
        <v>0</v>
      </c>
      <c r="K63">
        <f>SUMIFS(Table1[WL],Table1[Month],K$25,Table1[Customer],$B63)</f>
        <v>0</v>
      </c>
      <c r="L63">
        <f>SUMIFS(Table1[WL],Table1[Month],L$25,Table1[Customer],$B63)</f>
        <v>0</v>
      </c>
      <c r="M63">
        <f>SUMIFS(Table1[WL],Table1[Month],M$25,Table1[Customer],$B63)</f>
        <v>0</v>
      </c>
      <c r="N63">
        <f>SUMIFS(Table1[WL],Table1[Month],N$25,Table1[Customer],$B63)</f>
        <v>0</v>
      </c>
      <c r="Q63">
        <v>30</v>
      </c>
      <c r="R63">
        <f>200-R61-R62</f>
        <v>200</v>
      </c>
    </row>
    <row r="64" spans="2:18" x14ac:dyDescent="0.3">
      <c r="B64" s="3" t="e" cm="1">
        <f t="array" ref="B64">INDEX('WL Records'!$C2:$C1703, MATCH(0, COUNTIF($B$38:B63, 'WL Records'!$C2:$C1703), 0))</f>
        <v>#N/A</v>
      </c>
      <c r="C64">
        <f>SUMIFS(Table1[WL],Table1[Month],C$25,Table1[Customer],$B64)</f>
        <v>0</v>
      </c>
      <c r="D64">
        <f>SUMIFS(Table1[WL],Table1[Month],D$25,Table1[Customer],$B64)</f>
        <v>0</v>
      </c>
      <c r="E64">
        <f>SUMIFS(Table1[WL],Table1[Month],E$25,Table1[Customer],$B64)</f>
        <v>0</v>
      </c>
      <c r="F64">
        <f>SUMIFS(Table1[WL],Table1[Month],F$25,Table1[Customer],$B64)</f>
        <v>0</v>
      </c>
      <c r="G64">
        <f>SUMIFS(Table1[WL],Table1[Month],G$25,Table1[Customer],$B64)</f>
        <v>0</v>
      </c>
      <c r="H64">
        <f>SUMIFS(Table1[WL],Table1[Month],H$25,Table1[Customer],$B64)</f>
        <v>0</v>
      </c>
      <c r="I64">
        <f>SUMIFS(Table1[WL],Table1[Month],I$25,Table1[Customer],$B64)</f>
        <v>0</v>
      </c>
      <c r="J64">
        <f>SUMIFS(Table1[WL],Table1[Month],J$25,Table1[Customer],$B64)</f>
        <v>0</v>
      </c>
      <c r="K64">
        <f>SUMIFS(Table1[WL],Table1[Month],K$25,Table1[Customer],$B64)</f>
        <v>0</v>
      </c>
      <c r="L64">
        <f>SUMIFS(Table1[WL],Table1[Month],L$25,Table1[Customer],$B64)</f>
        <v>0</v>
      </c>
      <c r="M64">
        <f>SUMIFS(Table1[WL],Table1[Month],M$25,Table1[Customer],$B64)</f>
        <v>0</v>
      </c>
      <c r="N64">
        <f>SUMIFS(Table1[WL],Table1[Month],N$25,Table1[Customer],$B64)</f>
        <v>0</v>
      </c>
      <c r="Q64">
        <v>100</v>
      </c>
    </row>
    <row r="65" spans="2:19" x14ac:dyDescent="0.3">
      <c r="B65" s="3" t="e" cm="1">
        <f t="array" ref="B65">INDEX('WL Records'!$C2:$C1704, MATCH(0, COUNTIF($B$38:B64, 'WL Records'!$C2:$C1704), 0))</f>
        <v>#N/A</v>
      </c>
      <c r="C65">
        <f>SUMIFS(Table1[WL],Table1[Month],C$25,Table1[Customer],$B65)</f>
        <v>0</v>
      </c>
      <c r="D65">
        <f>SUMIFS(Table1[WL],Table1[Month],D$25,Table1[Customer],$B65)</f>
        <v>0</v>
      </c>
      <c r="E65">
        <f>SUMIFS(Table1[WL],Table1[Month],E$25,Table1[Customer],$B65)</f>
        <v>0</v>
      </c>
      <c r="F65">
        <f>SUMIFS(Table1[WL],Table1[Month],F$25,Table1[Customer],$B65)</f>
        <v>0</v>
      </c>
      <c r="G65">
        <f>SUMIFS(Table1[WL],Table1[Month],G$25,Table1[Customer],$B65)</f>
        <v>0</v>
      </c>
      <c r="H65">
        <f>SUMIFS(Table1[WL],Table1[Month],H$25,Table1[Customer],$B65)</f>
        <v>0</v>
      </c>
      <c r="I65">
        <f>SUMIFS(Table1[WL],Table1[Month],I$25,Table1[Customer],$B65)</f>
        <v>0</v>
      </c>
      <c r="J65">
        <f>SUMIFS(Table1[WL],Table1[Month],J$25,Table1[Customer],$B65)</f>
        <v>0</v>
      </c>
      <c r="K65">
        <f>SUMIFS(Table1[WL],Table1[Month],K$25,Table1[Customer],$B65)</f>
        <v>0</v>
      </c>
      <c r="L65">
        <f>SUMIFS(Table1[WL],Table1[Month],L$25,Table1[Customer],$B65)</f>
        <v>0</v>
      </c>
      <c r="M65">
        <f>SUMIFS(Table1[WL],Table1[Month],M$25,Table1[Customer],$B65)</f>
        <v>0</v>
      </c>
      <c r="N65">
        <f>SUMIFS(Table1[WL],Table1[Month],N$25,Table1[Customer],$B65)</f>
        <v>0</v>
      </c>
    </row>
    <row r="66" spans="2:19" x14ac:dyDescent="0.3">
      <c r="B66" s="3" t="e" cm="1">
        <f t="array" ref="B66">INDEX('WL Records'!$C2:$C1705, MATCH(0, COUNTIF($B$38:B65, 'WL Records'!$C2:$C1705), 0))</f>
        <v>#N/A</v>
      </c>
      <c r="C66">
        <f>SUMIFS(Table1[WL],Table1[Month],C$25,Table1[Customer],$B66)</f>
        <v>0</v>
      </c>
      <c r="D66">
        <f>SUMIFS(Table1[WL],Table1[Month],D$25,Table1[Customer],$B66)</f>
        <v>0</v>
      </c>
      <c r="E66">
        <f>SUMIFS(Table1[WL],Table1[Month],E$25,Table1[Customer],$B66)</f>
        <v>0</v>
      </c>
      <c r="F66">
        <f>SUMIFS(Table1[WL],Table1[Month],F$25,Table1[Customer],$B66)</f>
        <v>0</v>
      </c>
      <c r="G66">
        <f>SUMIFS(Table1[WL],Table1[Month],G$25,Table1[Customer],$B66)</f>
        <v>0</v>
      </c>
      <c r="H66">
        <f>SUMIFS(Table1[WL],Table1[Month],H$25,Table1[Customer],$B66)</f>
        <v>0</v>
      </c>
      <c r="I66">
        <f>SUMIFS(Table1[WL],Table1[Month],I$25,Table1[Customer],$B66)</f>
        <v>0</v>
      </c>
      <c r="J66">
        <f>SUMIFS(Table1[WL],Table1[Month],J$25,Table1[Customer],$B66)</f>
        <v>0</v>
      </c>
      <c r="K66">
        <f>SUMIFS(Table1[WL],Table1[Month],K$25,Table1[Customer],$B66)</f>
        <v>0</v>
      </c>
      <c r="L66">
        <f>SUMIFS(Table1[WL],Table1[Month],L$25,Table1[Customer],$B66)</f>
        <v>0</v>
      </c>
      <c r="M66">
        <f>SUMIFS(Table1[WL],Table1[Month],M$25,Table1[Customer],$B66)</f>
        <v>0</v>
      </c>
      <c r="N66">
        <f>SUMIFS(Table1[WL],Table1[Month],N$25,Table1[Customer],$B66)</f>
        <v>0</v>
      </c>
    </row>
    <row r="67" spans="2:19" x14ac:dyDescent="0.3">
      <c r="B67" s="3" t="e" cm="1">
        <f t="array" ref="B67">INDEX('WL Records'!$C2:$C1706, MATCH(0, COUNTIF($B$38:B66, 'WL Records'!$C2:$C1706), 0))</f>
        <v>#N/A</v>
      </c>
      <c r="C67">
        <f>SUMIFS(Table1[WL],Table1[Month],C$25,Table1[Customer],$B67)</f>
        <v>0</v>
      </c>
      <c r="D67">
        <f>SUMIFS(Table1[WL],Table1[Month],D$25,Table1[Customer],$B67)</f>
        <v>0</v>
      </c>
      <c r="E67">
        <f>SUMIFS(Table1[WL],Table1[Month],E$25,Table1[Customer],$B67)</f>
        <v>0</v>
      </c>
      <c r="F67">
        <f>SUMIFS(Table1[WL],Table1[Month],F$25,Table1[Customer],$B67)</f>
        <v>0</v>
      </c>
      <c r="G67">
        <f>SUMIFS(Table1[WL],Table1[Month],G$25,Table1[Customer],$B67)</f>
        <v>0</v>
      </c>
      <c r="H67">
        <f>SUMIFS(Table1[WL],Table1[Month],H$25,Table1[Customer],$B67)</f>
        <v>0</v>
      </c>
      <c r="I67">
        <f>SUMIFS(Table1[WL],Table1[Month],I$25,Table1[Customer],$B67)</f>
        <v>0</v>
      </c>
      <c r="J67">
        <f>SUMIFS(Table1[WL],Table1[Month],J$25,Table1[Customer],$B67)</f>
        <v>0</v>
      </c>
      <c r="K67">
        <f>SUMIFS(Table1[WL],Table1[Month],K$25,Table1[Customer],$B67)</f>
        <v>0</v>
      </c>
      <c r="L67">
        <f>SUMIFS(Table1[WL],Table1[Month],L$25,Table1[Customer],$B67)</f>
        <v>0</v>
      </c>
      <c r="M67">
        <f>SUMIFS(Table1[WL],Table1[Month],M$25,Table1[Customer],$B67)</f>
        <v>0</v>
      </c>
      <c r="N67">
        <f>SUMIFS(Table1[WL],Table1[Month],N$25,Table1[Customer],$B67)</f>
        <v>0</v>
      </c>
    </row>
    <row r="68" spans="2:19" x14ac:dyDescent="0.3">
      <c r="B68" s="3" t="e" cm="1">
        <f t="array" ref="B68">INDEX('WL Records'!$C2:$C1707, MATCH(0, COUNTIF($B$38:B67, 'WL Records'!$C2:$C1707), 0))</f>
        <v>#N/A</v>
      </c>
      <c r="C68">
        <f>SUMIFS(Table1[WL],Table1[Month],C$25,Table1[Customer],$B68)</f>
        <v>0</v>
      </c>
      <c r="D68">
        <f>SUMIFS(Table1[WL],Table1[Month],D$25,Table1[Customer],$B68)</f>
        <v>0</v>
      </c>
      <c r="E68">
        <f>SUMIFS(Table1[WL],Table1[Month],E$25,Table1[Customer],$B68)</f>
        <v>0</v>
      </c>
      <c r="F68">
        <f>SUMIFS(Table1[WL],Table1[Month],F$25,Table1[Customer],$B68)</f>
        <v>0</v>
      </c>
      <c r="G68">
        <f>SUMIFS(Table1[WL],Table1[Month],G$25,Table1[Customer],$B68)</f>
        <v>0</v>
      </c>
      <c r="H68">
        <f>SUMIFS(Table1[WL],Table1[Month],H$25,Table1[Customer],$B68)</f>
        <v>0</v>
      </c>
      <c r="I68">
        <f>SUMIFS(Table1[WL],Table1[Month],I$25,Table1[Customer],$B68)</f>
        <v>0</v>
      </c>
      <c r="J68">
        <f>SUMIFS(Table1[WL],Table1[Month],J$25,Table1[Customer],$B68)</f>
        <v>0</v>
      </c>
      <c r="K68">
        <f>SUMIFS(Table1[WL],Table1[Month],K$25,Table1[Customer],$B68)</f>
        <v>0</v>
      </c>
      <c r="L68">
        <f>SUMIFS(Table1[WL],Table1[Month],L$25,Table1[Customer],$B68)</f>
        <v>0</v>
      </c>
      <c r="M68">
        <f>SUMIFS(Table1[WL],Table1[Month],M$25,Table1[Customer],$B68)</f>
        <v>0</v>
      </c>
      <c r="N68">
        <f>SUMIFS(Table1[WL],Table1[Month],N$25,Table1[Customer],$B68)</f>
        <v>0</v>
      </c>
    </row>
    <row r="69" spans="2:19" x14ac:dyDescent="0.3">
      <c r="B69" s="3" t="e" cm="1">
        <f t="array" ref="B69">INDEX('WL Records'!$C2:$C1708, MATCH(0, COUNTIF($B$38:B68, 'WL Records'!$C2:$C1708), 0))</f>
        <v>#N/A</v>
      </c>
      <c r="C69">
        <f>SUMIFS(Table1[WL],Table1[Month],C$25,Table1[Customer],$B69)</f>
        <v>0</v>
      </c>
      <c r="D69">
        <f>SUMIFS(Table1[WL],Table1[Month],D$25,Table1[Customer],$B69)</f>
        <v>0</v>
      </c>
      <c r="E69">
        <f>SUMIFS(Table1[WL],Table1[Month],E$25,Table1[Customer],$B69)</f>
        <v>0</v>
      </c>
      <c r="F69">
        <f>SUMIFS(Table1[WL],Table1[Month],F$25,Table1[Customer],$B69)</f>
        <v>0</v>
      </c>
      <c r="G69">
        <f>SUMIFS(Table1[WL],Table1[Month],G$25,Table1[Customer],$B69)</f>
        <v>0</v>
      </c>
      <c r="H69">
        <f>SUMIFS(Table1[WL],Table1[Month],H$25,Table1[Customer],$B69)</f>
        <v>0</v>
      </c>
      <c r="I69">
        <f>SUMIFS(Table1[WL],Table1[Month],I$25,Table1[Customer],$B69)</f>
        <v>0</v>
      </c>
      <c r="J69">
        <f>SUMIFS(Table1[WL],Table1[Month],J$25,Table1[Customer],$B69)</f>
        <v>0</v>
      </c>
      <c r="K69">
        <f>SUMIFS(Table1[WL],Table1[Month],K$25,Table1[Customer],$B69)</f>
        <v>0</v>
      </c>
      <c r="L69">
        <f>SUMIFS(Table1[WL],Table1[Month],L$25,Table1[Customer],$B69)</f>
        <v>0</v>
      </c>
      <c r="M69">
        <f>SUMIFS(Table1[WL],Table1[Month],M$25,Table1[Customer],$B69)</f>
        <v>0</v>
      </c>
      <c r="N69">
        <f>SUMIFS(Table1[WL],Table1[Month],N$25,Table1[Customer],$B69)</f>
        <v>0</v>
      </c>
    </row>
    <row r="70" spans="2:19" x14ac:dyDescent="0.3">
      <c r="B70" s="3" t="e" cm="1">
        <f t="array" ref="B70">INDEX('WL Records'!$C2:$C1709, MATCH(0, COUNTIF($B$38:B69, 'WL Records'!$C2:$C1709), 0))</f>
        <v>#N/A</v>
      </c>
      <c r="C70">
        <f>SUMIFS(Table1[WL],Table1[Month],C$25,Table1[Customer],$B70)</f>
        <v>0</v>
      </c>
      <c r="D70">
        <f>SUMIFS(Table1[WL],Table1[Month],D$25,Table1[Customer],$B70)</f>
        <v>0</v>
      </c>
      <c r="E70">
        <f>SUMIFS(Table1[WL],Table1[Month],E$25,Table1[Customer],$B70)</f>
        <v>0</v>
      </c>
      <c r="F70">
        <f>SUMIFS(Table1[WL],Table1[Month],F$25,Table1[Customer],$B70)</f>
        <v>0</v>
      </c>
      <c r="G70">
        <f>SUMIFS(Table1[WL],Table1[Month],G$25,Table1[Customer],$B70)</f>
        <v>0</v>
      </c>
      <c r="H70">
        <f>SUMIFS(Table1[WL],Table1[Month],H$25,Table1[Customer],$B70)</f>
        <v>0</v>
      </c>
      <c r="I70">
        <f>SUMIFS(Table1[WL],Table1[Month],I$25,Table1[Customer],$B70)</f>
        <v>0</v>
      </c>
      <c r="J70">
        <f>SUMIFS(Table1[WL],Table1[Month],J$25,Table1[Customer],$B70)</f>
        <v>0</v>
      </c>
      <c r="K70">
        <f>SUMIFS(Table1[WL],Table1[Month],K$25,Table1[Customer],$B70)</f>
        <v>0</v>
      </c>
      <c r="L70">
        <f>SUMIFS(Table1[WL],Table1[Month],L$25,Table1[Customer],$B70)</f>
        <v>0</v>
      </c>
      <c r="M70">
        <f>SUMIFS(Table1[WL],Table1[Month],M$25,Table1[Customer],$B70)</f>
        <v>0</v>
      </c>
      <c r="N70">
        <f>SUMIFS(Table1[WL],Table1[Month],N$25,Table1[Customer],$B70)</f>
        <v>0</v>
      </c>
    </row>
    <row r="71" spans="2:19" x14ac:dyDescent="0.3">
      <c r="B71" s="3" t="e" cm="1">
        <f t="array" ref="B71">INDEX('WL Records'!$C2:$C1710, MATCH(0, COUNTIF($B$38:B70, 'WL Records'!$C2:$C1710), 0))</f>
        <v>#N/A</v>
      </c>
      <c r="C71">
        <f>SUMIFS(Table1[WL],Table1[Month],C$25,Table1[Customer],$B71)</f>
        <v>0</v>
      </c>
      <c r="D71">
        <f>SUMIFS(Table1[WL],Table1[Month],D$25,Table1[Customer],$B71)</f>
        <v>0</v>
      </c>
      <c r="E71">
        <f>SUMIFS(Table1[WL],Table1[Month],E$25,Table1[Customer],$B71)</f>
        <v>0</v>
      </c>
      <c r="F71">
        <f>SUMIFS(Table1[WL],Table1[Month],F$25,Table1[Customer],$B71)</f>
        <v>0</v>
      </c>
      <c r="G71">
        <f>SUMIFS(Table1[WL],Table1[Month],G$25,Table1[Customer],$B71)</f>
        <v>0</v>
      </c>
      <c r="H71">
        <f>SUMIFS(Table1[WL],Table1[Month],H$25,Table1[Customer],$B71)</f>
        <v>0</v>
      </c>
      <c r="I71">
        <f>SUMIFS(Table1[WL],Table1[Month],I$25,Table1[Customer],$B71)</f>
        <v>0</v>
      </c>
      <c r="J71">
        <f>SUMIFS(Table1[WL],Table1[Month],J$25,Table1[Customer],$B71)</f>
        <v>0</v>
      </c>
      <c r="K71">
        <f>SUMIFS(Table1[WL],Table1[Month],K$25,Table1[Customer],$B71)</f>
        <v>0</v>
      </c>
      <c r="L71">
        <f>SUMIFS(Table1[WL],Table1[Month],L$25,Table1[Customer],$B71)</f>
        <v>0</v>
      </c>
      <c r="M71">
        <f>SUMIFS(Table1[WL],Table1[Month],M$25,Table1[Customer],$B71)</f>
        <v>0</v>
      </c>
      <c r="N71">
        <f>SUMIFS(Table1[WL],Table1[Month],N$25,Table1[Customer],$B71)</f>
        <v>0</v>
      </c>
    </row>
    <row r="72" spans="2:19" x14ac:dyDescent="0.3">
      <c r="B72" s="3" t="e" cm="1">
        <f t="array" ref="B72">INDEX('WL Records'!$C2:$C1711, MATCH(0, COUNTIF($B$38:B71, 'WL Records'!$C2:$C1711), 0))</f>
        <v>#N/A</v>
      </c>
      <c r="C72">
        <f>SUMIFS(Table1[WL],Table1[Month],C$25,Table1[Customer],$B72)</f>
        <v>0</v>
      </c>
      <c r="D72">
        <f>SUMIFS(Table1[WL],Table1[Month],D$25,Table1[Customer],$B72)</f>
        <v>0</v>
      </c>
      <c r="E72">
        <f>SUMIFS(Table1[WL],Table1[Month],E$25,Table1[Customer],$B72)</f>
        <v>0</v>
      </c>
      <c r="F72">
        <f>SUMIFS(Table1[WL],Table1[Month],F$25,Table1[Customer],$B72)</f>
        <v>0</v>
      </c>
      <c r="G72">
        <f>SUMIFS(Table1[WL],Table1[Month],G$25,Table1[Customer],$B72)</f>
        <v>0</v>
      </c>
      <c r="H72">
        <f>SUMIFS(Table1[WL],Table1[Month],H$25,Table1[Customer],$B72)</f>
        <v>0</v>
      </c>
      <c r="I72">
        <f>SUMIFS(Table1[WL],Table1[Month],I$25,Table1[Customer],$B72)</f>
        <v>0</v>
      </c>
      <c r="J72">
        <f>SUMIFS(Table1[WL],Table1[Month],J$25,Table1[Customer],$B72)</f>
        <v>0</v>
      </c>
      <c r="K72">
        <f>SUMIFS(Table1[WL],Table1[Month],K$25,Table1[Customer],$B72)</f>
        <v>0</v>
      </c>
      <c r="L72">
        <f>SUMIFS(Table1[WL],Table1[Month],L$25,Table1[Customer],$B72)</f>
        <v>0</v>
      </c>
      <c r="M72">
        <f>SUMIFS(Table1[WL],Table1[Month],M$25,Table1[Customer],$B72)</f>
        <v>0</v>
      </c>
      <c r="N72">
        <f>SUMIFS(Table1[WL],Table1[Month],N$25,Table1[Customer],$B72)</f>
        <v>0</v>
      </c>
    </row>
    <row r="73" spans="2:19" x14ac:dyDescent="0.3">
      <c r="B73" s="3" t="e" cm="1">
        <f t="array" ref="B73">INDEX('WL Records'!$C2:$C1712, MATCH(0, COUNTIF($B$38:B72, 'WL Records'!$C2:$C1712), 0))</f>
        <v>#N/A</v>
      </c>
      <c r="C73">
        <f>SUMIFS(Table1[WL],Table1[Month],C$25,Table1[Customer],$B73)</f>
        <v>0</v>
      </c>
      <c r="D73">
        <f>SUMIFS(Table1[WL],Table1[Month],D$25,Table1[Customer],$B73)</f>
        <v>0</v>
      </c>
      <c r="E73">
        <f>SUMIFS(Table1[WL],Table1[Month],E$25,Table1[Customer],$B73)</f>
        <v>0</v>
      </c>
      <c r="F73">
        <f>SUMIFS(Table1[WL],Table1[Month],F$25,Table1[Customer],$B73)</f>
        <v>0</v>
      </c>
      <c r="G73">
        <f>SUMIFS(Table1[WL],Table1[Month],G$25,Table1[Customer],$B73)</f>
        <v>0</v>
      </c>
      <c r="H73">
        <f>SUMIFS(Table1[WL],Table1[Month],H$25,Table1[Customer],$B73)</f>
        <v>0</v>
      </c>
      <c r="I73">
        <f>SUMIFS(Table1[WL],Table1[Month],I$25,Table1[Customer],$B73)</f>
        <v>0</v>
      </c>
      <c r="J73">
        <f>SUMIFS(Table1[WL],Table1[Month],J$25,Table1[Customer],$B73)</f>
        <v>0</v>
      </c>
      <c r="K73">
        <f>SUMIFS(Table1[WL],Table1[Month],K$25,Table1[Customer],$B73)</f>
        <v>0</v>
      </c>
      <c r="L73">
        <f>SUMIFS(Table1[WL],Table1[Month],L$25,Table1[Customer],$B73)</f>
        <v>0</v>
      </c>
      <c r="M73">
        <f>SUMIFS(Table1[WL],Table1[Month],M$25,Table1[Customer],$B73)</f>
        <v>0</v>
      </c>
      <c r="N73">
        <f>SUMIFS(Table1[WL],Table1[Month],N$25,Table1[Customer],$B73)</f>
        <v>0</v>
      </c>
    </row>
    <row r="74" spans="2:19" x14ac:dyDescent="0.3">
      <c r="B74" s="3" t="e" cm="1">
        <f t="array" ref="B74">INDEX('WL Records'!$C2:$C1713, MATCH(0, COUNTIF($B$38:B73, 'WL Records'!$C2:$C1713), 0))</f>
        <v>#N/A</v>
      </c>
      <c r="C74">
        <f>SUMIFS(Table1[WL],Table1[Month],C$25,Table1[Customer],$B74)</f>
        <v>0</v>
      </c>
      <c r="D74">
        <f>SUMIFS(Table1[WL],Table1[Month],D$25,Table1[Customer],$B74)</f>
        <v>0</v>
      </c>
      <c r="E74">
        <f>SUMIFS(Table1[WL],Table1[Month],E$25,Table1[Customer],$B74)</f>
        <v>0</v>
      </c>
      <c r="F74">
        <f>SUMIFS(Table1[WL],Table1[Month],F$25,Table1[Customer],$B74)</f>
        <v>0</v>
      </c>
      <c r="G74">
        <f>SUMIFS(Table1[WL],Table1[Month],G$25,Table1[Customer],$B74)</f>
        <v>0</v>
      </c>
      <c r="H74">
        <f>SUMIFS(Table1[WL],Table1[Month],H$25,Table1[Customer],$B74)</f>
        <v>0</v>
      </c>
      <c r="I74">
        <f>SUMIFS(Table1[WL],Table1[Month],I$25,Table1[Customer],$B74)</f>
        <v>0</v>
      </c>
      <c r="J74">
        <f>SUMIFS(Table1[WL],Table1[Month],J$25,Table1[Customer],$B74)</f>
        <v>0</v>
      </c>
      <c r="K74">
        <f>SUMIFS(Table1[WL],Table1[Month],K$25,Table1[Customer],$B74)</f>
        <v>0</v>
      </c>
      <c r="L74">
        <f>SUMIFS(Table1[WL],Table1[Month],L$25,Table1[Customer],$B74)</f>
        <v>0</v>
      </c>
      <c r="M74">
        <f>SUMIFS(Table1[WL],Table1[Month],M$25,Table1[Customer],$B74)</f>
        <v>0</v>
      </c>
      <c r="N74">
        <f>SUMIFS(Table1[WL],Table1[Month],N$25,Table1[Customer],$B74)</f>
        <v>0</v>
      </c>
    </row>
    <row r="75" spans="2:19" x14ac:dyDescent="0.3">
      <c r="B75" s="3" t="e" cm="1">
        <f t="array" ref="B75">INDEX('WL Records'!$C2:$C1714, MATCH(0, COUNTIF($B$38:B74, 'WL Records'!$C2:$C1714), 0))</f>
        <v>#N/A</v>
      </c>
      <c r="C75">
        <f>SUMIFS(Table1[WL],Table1[Month],C$25,Table1[Customer],$B75)</f>
        <v>0</v>
      </c>
      <c r="D75">
        <f>SUMIFS(Table1[WL],Table1[Month],D$25,Table1[Customer],$B75)</f>
        <v>0</v>
      </c>
      <c r="E75">
        <f>SUMIFS(Table1[WL],Table1[Month],E$25,Table1[Customer],$B75)</f>
        <v>0</v>
      </c>
      <c r="F75">
        <f>SUMIFS(Table1[WL],Table1[Month],F$25,Table1[Customer],$B75)</f>
        <v>0</v>
      </c>
      <c r="G75">
        <f>SUMIFS(Table1[WL],Table1[Month],G$25,Table1[Customer],$B75)</f>
        <v>0</v>
      </c>
      <c r="H75">
        <f>SUMIFS(Table1[WL],Table1[Month],H$25,Table1[Customer],$B75)</f>
        <v>0</v>
      </c>
      <c r="I75">
        <f>SUMIFS(Table1[WL],Table1[Month],I$25,Table1[Customer],$B75)</f>
        <v>0</v>
      </c>
      <c r="J75">
        <f>SUMIFS(Table1[WL],Table1[Month],J$25,Table1[Customer],$B75)</f>
        <v>0</v>
      </c>
      <c r="K75">
        <f>SUMIFS(Table1[WL],Table1[Month],K$25,Table1[Customer],$B75)</f>
        <v>0</v>
      </c>
      <c r="L75">
        <f>SUMIFS(Table1[WL],Table1[Month],L$25,Table1[Customer],$B75)</f>
        <v>0</v>
      </c>
      <c r="M75">
        <f>SUMIFS(Table1[WL],Table1[Month],M$25,Table1[Customer],$B75)</f>
        <v>0</v>
      </c>
      <c r="N75">
        <f>SUMIFS(Table1[WL],Table1[Month],N$25,Table1[Customer],$B75)</f>
        <v>0</v>
      </c>
    </row>
    <row r="76" spans="2:19" x14ac:dyDescent="0.3">
      <c r="B76" s="3" t="e" cm="1">
        <f t="array" ref="B76">INDEX('WL Records'!$C2:$C1715, MATCH(0, COUNTIF($B$38:B75, 'WL Records'!$C2:$C1715), 0))</f>
        <v>#N/A</v>
      </c>
      <c r="C76">
        <f>SUMIFS(Table1[WL],Table1[Month],C$25,Table1[Customer],$B76)</f>
        <v>0</v>
      </c>
      <c r="D76">
        <f>SUMIFS(Table1[WL],Table1[Month],D$25,Table1[Customer],$B76)</f>
        <v>0</v>
      </c>
      <c r="E76">
        <f>SUMIFS(Table1[WL],Table1[Month],E$25,Table1[Customer],$B76)</f>
        <v>0</v>
      </c>
      <c r="F76">
        <f>SUMIFS(Table1[WL],Table1[Month],F$25,Table1[Customer],$B76)</f>
        <v>0</v>
      </c>
      <c r="G76">
        <f>SUMIFS(Table1[WL],Table1[Month],G$25,Table1[Customer],$B76)</f>
        <v>0</v>
      </c>
      <c r="H76">
        <f>SUMIFS(Table1[WL],Table1[Month],H$25,Table1[Customer],$B76)</f>
        <v>0</v>
      </c>
      <c r="I76">
        <f>SUMIFS(Table1[WL],Table1[Month],I$25,Table1[Customer],$B76)</f>
        <v>0</v>
      </c>
      <c r="J76">
        <f>SUMIFS(Table1[WL],Table1[Month],J$25,Table1[Customer],$B76)</f>
        <v>0</v>
      </c>
      <c r="K76">
        <f>SUMIFS(Table1[WL],Table1[Month],K$25,Table1[Customer],$B76)</f>
        <v>0</v>
      </c>
      <c r="L76">
        <f>SUMIFS(Table1[WL],Table1[Month],L$25,Table1[Customer],$B76)</f>
        <v>0</v>
      </c>
      <c r="M76">
        <f>SUMIFS(Table1[WL],Table1[Month],M$25,Table1[Customer],$B76)</f>
        <v>0</v>
      </c>
      <c r="N76">
        <f>SUMIFS(Table1[WL],Table1[Month],N$25,Table1[Customer],$B76)</f>
        <v>0</v>
      </c>
      <c r="S76" s="25"/>
    </row>
    <row r="77" spans="2:19" x14ac:dyDescent="0.3">
      <c r="B77" s="3" t="e" cm="1">
        <f t="array" ref="B77">INDEX('WL Records'!$C2:$C1716, MATCH(0, COUNTIF($B$38:B76, 'WL Records'!$C2:$C1716), 0))</f>
        <v>#N/A</v>
      </c>
      <c r="C77">
        <f>SUMIFS(Table1[WL],Table1[Month],C$25,Table1[Customer],$B77)</f>
        <v>0</v>
      </c>
      <c r="D77">
        <f>SUMIFS(Table1[WL],Table1[Month],D$25,Table1[Customer],$B77)</f>
        <v>0</v>
      </c>
      <c r="E77">
        <f>SUMIFS(Table1[WL],Table1[Month],E$25,Table1[Customer],$B77)</f>
        <v>0</v>
      </c>
      <c r="F77">
        <f>SUMIFS(Table1[WL],Table1[Month],F$25,Table1[Customer],$B77)</f>
        <v>0</v>
      </c>
      <c r="G77">
        <f>SUMIFS(Table1[WL],Table1[Month],G$25,Table1[Customer],$B77)</f>
        <v>0</v>
      </c>
      <c r="H77">
        <f>SUMIFS(Table1[WL],Table1[Month],H$25,Table1[Customer],$B77)</f>
        <v>0</v>
      </c>
      <c r="I77">
        <f>SUMIFS(Table1[WL],Table1[Month],I$25,Table1[Customer],$B77)</f>
        <v>0</v>
      </c>
      <c r="J77">
        <f>SUMIFS(Table1[WL],Table1[Month],J$25,Table1[Customer],$B77)</f>
        <v>0</v>
      </c>
      <c r="K77">
        <f>SUMIFS(Table1[WL],Table1[Month],K$25,Table1[Customer],$B77)</f>
        <v>0</v>
      </c>
      <c r="L77">
        <f>SUMIFS(Table1[WL],Table1[Month],L$25,Table1[Customer],$B77)</f>
        <v>0</v>
      </c>
      <c r="M77">
        <f>SUMIFS(Table1[WL],Table1[Month],M$25,Table1[Customer],$B77)</f>
        <v>0</v>
      </c>
      <c r="N77">
        <f>SUMIFS(Table1[WL],Table1[Month],N$25,Table1[Customer],$B77)</f>
        <v>0</v>
      </c>
    </row>
    <row r="78" spans="2:19" x14ac:dyDescent="0.3">
      <c r="B78" s="3" t="e" cm="1">
        <f t="array" ref="B78">INDEX('WL Records'!$C2:$C1717, MATCH(0, COUNTIF($B$38:B77, 'WL Records'!$C2:$C1717), 0))</f>
        <v>#N/A</v>
      </c>
      <c r="C78">
        <f>SUMIFS(Table1[WL],Table1[Month],C$25,Table1[Customer],$B78)</f>
        <v>0</v>
      </c>
      <c r="D78">
        <f>SUMIFS(Table1[WL],Table1[Month],D$25,Table1[Customer],$B78)</f>
        <v>0</v>
      </c>
      <c r="E78">
        <f>SUMIFS(Table1[WL],Table1[Month],E$25,Table1[Customer],$B78)</f>
        <v>0</v>
      </c>
      <c r="F78">
        <f>SUMIFS(Table1[WL],Table1[Month],F$25,Table1[Customer],$B78)</f>
        <v>0</v>
      </c>
      <c r="G78">
        <f>SUMIFS(Table1[WL],Table1[Month],G$25,Table1[Customer],$B78)</f>
        <v>0</v>
      </c>
      <c r="H78">
        <f>SUMIFS(Table1[WL],Table1[Month],H$25,Table1[Customer],$B78)</f>
        <v>0</v>
      </c>
      <c r="I78">
        <f>SUMIFS(Table1[WL],Table1[Month],I$25,Table1[Customer],$B78)</f>
        <v>0</v>
      </c>
      <c r="J78">
        <f>SUMIFS(Table1[WL],Table1[Month],J$25,Table1[Customer],$B78)</f>
        <v>0</v>
      </c>
      <c r="K78">
        <f>SUMIFS(Table1[WL],Table1[Month],K$25,Table1[Customer],$B78)</f>
        <v>0</v>
      </c>
      <c r="L78">
        <f>SUMIFS(Table1[WL],Table1[Month],L$25,Table1[Customer],$B78)</f>
        <v>0</v>
      </c>
      <c r="M78">
        <f>SUMIFS(Table1[WL],Table1[Month],M$25,Table1[Customer],$B78)</f>
        <v>0</v>
      </c>
      <c r="N78">
        <f>SUMIFS(Table1[WL],Table1[Month],N$25,Table1[Customer],$B78)</f>
        <v>0</v>
      </c>
    </row>
    <row r="79" spans="2:19" x14ac:dyDescent="0.3">
      <c r="B79" s="3" t="e" cm="1">
        <f t="array" ref="B79">INDEX('WL Records'!$C2:$C1718, MATCH(0, COUNTIF($B$38:B78, 'WL Records'!$C2:$C1718), 0))</f>
        <v>#N/A</v>
      </c>
      <c r="C79">
        <f>SUMIFS(Table1[WL],Table1[Month],C$25,Table1[Customer],$B79)</f>
        <v>0</v>
      </c>
      <c r="D79">
        <f>SUMIFS(Table1[WL],Table1[Month],D$25,Table1[Customer],$B79)</f>
        <v>0</v>
      </c>
      <c r="E79">
        <f>SUMIFS(Table1[WL],Table1[Month],E$25,Table1[Customer],$B79)</f>
        <v>0</v>
      </c>
      <c r="F79">
        <f>SUMIFS(Table1[WL],Table1[Month],F$25,Table1[Customer],$B79)</f>
        <v>0</v>
      </c>
      <c r="G79">
        <f>SUMIFS(Table1[WL],Table1[Month],G$25,Table1[Customer],$B79)</f>
        <v>0</v>
      </c>
      <c r="H79">
        <f>SUMIFS(Table1[WL],Table1[Month],H$25,Table1[Customer],$B79)</f>
        <v>0</v>
      </c>
      <c r="I79">
        <f>SUMIFS(Table1[WL],Table1[Month],I$25,Table1[Customer],$B79)</f>
        <v>0</v>
      </c>
      <c r="J79">
        <f>SUMIFS(Table1[WL],Table1[Month],J$25,Table1[Customer],$B79)</f>
        <v>0</v>
      </c>
      <c r="K79">
        <f>SUMIFS(Table1[WL],Table1[Month],K$25,Table1[Customer],$B79)</f>
        <v>0</v>
      </c>
      <c r="L79">
        <f>SUMIFS(Table1[WL],Table1[Month],L$25,Table1[Customer],$B79)</f>
        <v>0</v>
      </c>
      <c r="M79">
        <f>SUMIFS(Table1[WL],Table1[Month],M$25,Table1[Customer],$B79)</f>
        <v>0</v>
      </c>
      <c r="N79">
        <f>SUMIFS(Table1[WL],Table1[Month],N$25,Table1[Customer],$B79)</f>
        <v>0</v>
      </c>
    </row>
    <row r="80" spans="2:19" x14ac:dyDescent="0.3">
      <c r="B80" s="3" t="e" cm="1">
        <f t="array" ref="B80">INDEX('WL Records'!$C2:$C1719, MATCH(0, COUNTIF($B$38:B79, 'WL Records'!$C2:$C1719), 0))</f>
        <v>#N/A</v>
      </c>
      <c r="C80">
        <f>SUMIFS(Table1[WL],Table1[Month],C$25,Table1[Customer],$B80)</f>
        <v>0</v>
      </c>
      <c r="D80">
        <f>SUMIFS(Table1[WL],Table1[Month],D$25,Table1[Customer],$B80)</f>
        <v>0</v>
      </c>
      <c r="E80">
        <f>SUMIFS(Table1[WL],Table1[Month],E$25,Table1[Customer],$B80)</f>
        <v>0</v>
      </c>
      <c r="F80">
        <f>SUMIFS(Table1[WL],Table1[Month],F$25,Table1[Customer],$B80)</f>
        <v>0</v>
      </c>
      <c r="G80">
        <f>SUMIFS(Table1[WL],Table1[Month],G$25,Table1[Customer],$B80)</f>
        <v>0</v>
      </c>
      <c r="H80">
        <f>SUMIFS(Table1[WL],Table1[Month],H$25,Table1[Customer],$B80)</f>
        <v>0</v>
      </c>
      <c r="I80">
        <f>SUMIFS(Table1[WL],Table1[Month],I$25,Table1[Customer],$B80)</f>
        <v>0</v>
      </c>
      <c r="J80">
        <f>SUMIFS(Table1[WL],Table1[Month],J$25,Table1[Customer],$B80)</f>
        <v>0</v>
      </c>
      <c r="K80">
        <f>SUMIFS(Table1[WL],Table1[Month],K$25,Table1[Customer],$B80)</f>
        <v>0</v>
      </c>
      <c r="L80">
        <f>SUMIFS(Table1[WL],Table1[Month],L$25,Table1[Customer],$B80)</f>
        <v>0</v>
      </c>
      <c r="M80">
        <f>SUMIFS(Table1[WL],Table1[Month],M$25,Table1[Customer],$B80)</f>
        <v>0</v>
      </c>
      <c r="N80">
        <f>SUMIFS(Table1[WL],Table1[Month],N$25,Table1[Customer],$B80)</f>
        <v>0</v>
      </c>
    </row>
    <row r="81" spans="2:14" x14ac:dyDescent="0.3">
      <c r="B81" s="3" t="e" cm="1">
        <f t="array" ref="B81">INDEX('WL Records'!$C2:$C1720, MATCH(0, COUNTIF($B$38:B80, 'WL Records'!$C2:$C1720), 0))</f>
        <v>#N/A</v>
      </c>
      <c r="C81">
        <f>SUMIFS(Table1[WL],Table1[Month],C$25,Table1[Customer],$B81)</f>
        <v>0</v>
      </c>
      <c r="D81">
        <f>SUMIFS(Table1[WL],Table1[Month],D$25,Table1[Customer],$B81)</f>
        <v>0</v>
      </c>
      <c r="E81">
        <f>SUMIFS(Table1[WL],Table1[Month],E$25,Table1[Customer],$B81)</f>
        <v>0</v>
      </c>
      <c r="F81">
        <f>SUMIFS(Table1[WL],Table1[Month],F$25,Table1[Customer],$B81)</f>
        <v>0</v>
      </c>
      <c r="G81">
        <f>SUMIFS(Table1[WL],Table1[Month],G$25,Table1[Customer],$B81)</f>
        <v>0</v>
      </c>
      <c r="H81">
        <f>SUMIFS(Table1[WL],Table1[Month],H$25,Table1[Customer],$B81)</f>
        <v>0</v>
      </c>
      <c r="I81">
        <f>SUMIFS(Table1[WL],Table1[Month],I$25,Table1[Customer],$B81)</f>
        <v>0</v>
      </c>
      <c r="J81">
        <f>SUMIFS(Table1[WL],Table1[Month],J$25,Table1[Customer],$B81)</f>
        <v>0</v>
      </c>
      <c r="K81">
        <f>SUMIFS(Table1[WL],Table1[Month],K$25,Table1[Customer],$B81)</f>
        <v>0</v>
      </c>
      <c r="L81">
        <f>SUMIFS(Table1[WL],Table1[Month],L$25,Table1[Customer],$B81)</f>
        <v>0</v>
      </c>
      <c r="M81">
        <f>SUMIFS(Table1[WL],Table1[Month],M$25,Table1[Customer],$B81)</f>
        <v>0</v>
      </c>
      <c r="N81">
        <f>SUMIFS(Table1[WL],Table1[Month],N$25,Table1[Customer],$B81)</f>
        <v>0</v>
      </c>
    </row>
    <row r="82" spans="2:14" x14ac:dyDescent="0.3">
      <c r="B82" s="3" t="e" cm="1">
        <f t="array" ref="B82">INDEX('WL Records'!$C2:$C1721, MATCH(0, COUNTIF($B$38:B81, 'WL Records'!$C2:$C1721), 0))</f>
        <v>#N/A</v>
      </c>
      <c r="C82">
        <f>SUMIFS(Table1[WL],Table1[Month],C$25,Table1[Customer],$B82)</f>
        <v>0</v>
      </c>
      <c r="D82">
        <f>SUMIFS(Table1[WL],Table1[Month],D$25,Table1[Customer],$B82)</f>
        <v>0</v>
      </c>
      <c r="E82">
        <f>SUMIFS(Table1[WL],Table1[Month],E$25,Table1[Customer],$B82)</f>
        <v>0</v>
      </c>
      <c r="F82">
        <f>SUMIFS(Table1[WL],Table1[Month],F$25,Table1[Customer],$B82)</f>
        <v>0</v>
      </c>
      <c r="G82">
        <f>SUMIFS(Table1[WL],Table1[Month],G$25,Table1[Customer],$B82)</f>
        <v>0</v>
      </c>
      <c r="H82">
        <f>SUMIFS(Table1[WL],Table1[Month],H$25,Table1[Customer],$B82)</f>
        <v>0</v>
      </c>
      <c r="I82">
        <f>SUMIFS(Table1[WL],Table1[Month],I$25,Table1[Customer],$B82)</f>
        <v>0</v>
      </c>
      <c r="J82">
        <f>SUMIFS(Table1[WL],Table1[Month],J$25,Table1[Customer],$B82)</f>
        <v>0</v>
      </c>
      <c r="K82">
        <f>SUMIFS(Table1[WL],Table1[Month],K$25,Table1[Customer],$B82)</f>
        <v>0</v>
      </c>
      <c r="L82">
        <f>SUMIFS(Table1[WL],Table1[Month],L$25,Table1[Customer],$B82)</f>
        <v>0</v>
      </c>
      <c r="M82">
        <f>SUMIFS(Table1[WL],Table1[Month],M$25,Table1[Customer],$B82)</f>
        <v>0</v>
      </c>
      <c r="N82">
        <f>SUMIFS(Table1[WL],Table1[Month],N$25,Table1[Customer],$B82)</f>
        <v>0</v>
      </c>
    </row>
    <row r="83" spans="2:14" x14ac:dyDescent="0.3">
      <c r="B83" s="3" t="e" cm="1">
        <f t="array" ref="B83">INDEX('WL Records'!$C2:$C1722, MATCH(0, COUNTIF($B$38:B82, 'WL Records'!$C2:$C1722), 0))</f>
        <v>#N/A</v>
      </c>
      <c r="C83">
        <f>SUMIFS(Table1[WL],Table1[Month],C$25,Table1[Customer],$B83)</f>
        <v>0</v>
      </c>
      <c r="D83">
        <f>SUMIFS(Table1[WL],Table1[Month],D$25,Table1[Customer],$B83)</f>
        <v>0</v>
      </c>
      <c r="E83">
        <f>SUMIFS(Table1[WL],Table1[Month],E$25,Table1[Customer],$B83)</f>
        <v>0</v>
      </c>
      <c r="F83">
        <f>SUMIFS(Table1[WL],Table1[Month],F$25,Table1[Customer],$B83)</f>
        <v>0</v>
      </c>
      <c r="G83">
        <f>SUMIFS(Table1[WL],Table1[Month],G$25,Table1[Customer],$B83)</f>
        <v>0</v>
      </c>
      <c r="H83">
        <f>SUMIFS(Table1[WL],Table1[Month],H$25,Table1[Customer],$B83)</f>
        <v>0</v>
      </c>
      <c r="I83">
        <f>SUMIFS(Table1[WL],Table1[Month],I$25,Table1[Customer],$B83)</f>
        <v>0</v>
      </c>
      <c r="J83">
        <f>SUMIFS(Table1[WL],Table1[Month],J$25,Table1[Customer],$B83)</f>
        <v>0</v>
      </c>
      <c r="K83">
        <f>SUMIFS(Table1[WL],Table1[Month],K$25,Table1[Customer],$B83)</f>
        <v>0</v>
      </c>
      <c r="L83">
        <f>SUMIFS(Table1[WL],Table1[Month],L$25,Table1[Customer],$B83)</f>
        <v>0</v>
      </c>
      <c r="M83">
        <f>SUMIFS(Table1[WL],Table1[Month],M$25,Table1[Customer],$B83)</f>
        <v>0</v>
      </c>
      <c r="N83">
        <f>SUMIFS(Table1[WL],Table1[Month],N$25,Table1[Customer],$B83)</f>
        <v>0</v>
      </c>
    </row>
    <row r="84" spans="2:14" x14ac:dyDescent="0.3">
      <c r="B84" s="3" t="e" cm="1">
        <f t="array" ref="B84">INDEX('WL Records'!$C2:$C1723, MATCH(0, COUNTIF($B$38:B83, 'WL Records'!$C2:$C1723), 0))</f>
        <v>#N/A</v>
      </c>
      <c r="C84">
        <f>SUMIFS(Table1[WL],Table1[Month],C$25,Table1[Customer],$B84)</f>
        <v>0</v>
      </c>
      <c r="D84">
        <f>SUMIFS(Table1[WL],Table1[Month],D$25,Table1[Customer],$B84)</f>
        <v>0</v>
      </c>
      <c r="E84">
        <f>SUMIFS(Table1[WL],Table1[Month],E$25,Table1[Customer],$B84)</f>
        <v>0</v>
      </c>
      <c r="F84">
        <f>SUMIFS(Table1[WL],Table1[Month],F$25,Table1[Customer],$B84)</f>
        <v>0</v>
      </c>
      <c r="G84">
        <f>SUMIFS(Table1[WL],Table1[Month],G$25,Table1[Customer],$B84)</f>
        <v>0</v>
      </c>
      <c r="H84">
        <f>SUMIFS(Table1[WL],Table1[Month],H$25,Table1[Customer],$B84)</f>
        <v>0</v>
      </c>
      <c r="I84">
        <f>SUMIFS(Table1[WL],Table1[Month],I$25,Table1[Customer],$B84)</f>
        <v>0</v>
      </c>
      <c r="J84">
        <f>SUMIFS(Table1[WL],Table1[Month],J$25,Table1[Customer],$B84)</f>
        <v>0</v>
      </c>
      <c r="K84">
        <f>SUMIFS(Table1[WL],Table1[Month],K$25,Table1[Customer],$B84)</f>
        <v>0</v>
      </c>
      <c r="L84">
        <f>SUMIFS(Table1[WL],Table1[Month],L$25,Table1[Customer],$B84)</f>
        <v>0</v>
      </c>
      <c r="M84">
        <f>SUMIFS(Table1[WL],Table1[Month],M$25,Table1[Customer],$B84)</f>
        <v>0</v>
      </c>
      <c r="N84">
        <f>SUMIFS(Table1[WL],Table1[Month],N$25,Table1[Customer],$B84)</f>
        <v>0</v>
      </c>
    </row>
    <row r="85" spans="2:14" x14ac:dyDescent="0.3">
      <c r="B85" s="3" t="e" cm="1">
        <f t="array" ref="B85">INDEX('WL Records'!$C2:$C1724, MATCH(0, COUNTIF($B$38:B84, 'WL Records'!$C2:$C1724), 0))</f>
        <v>#N/A</v>
      </c>
      <c r="C85">
        <f>SUMIFS(Table1[WL],Table1[Month],C$25,Table1[Customer],$B85)</f>
        <v>0</v>
      </c>
      <c r="D85">
        <f>SUMIFS(Table1[WL],Table1[Month],D$25,Table1[Customer],$B85)</f>
        <v>0</v>
      </c>
      <c r="E85">
        <f>SUMIFS(Table1[WL],Table1[Month],E$25,Table1[Customer],$B85)</f>
        <v>0</v>
      </c>
      <c r="F85">
        <f>SUMIFS(Table1[WL],Table1[Month],F$25,Table1[Customer],$B85)</f>
        <v>0</v>
      </c>
      <c r="G85">
        <f>SUMIFS(Table1[WL],Table1[Month],G$25,Table1[Customer],$B85)</f>
        <v>0</v>
      </c>
      <c r="H85">
        <f>SUMIFS(Table1[WL],Table1[Month],H$25,Table1[Customer],$B85)</f>
        <v>0</v>
      </c>
      <c r="I85">
        <f>SUMIFS(Table1[WL],Table1[Month],I$25,Table1[Customer],$B85)</f>
        <v>0</v>
      </c>
      <c r="J85">
        <f>SUMIFS(Table1[WL],Table1[Month],J$25,Table1[Customer],$B85)</f>
        <v>0</v>
      </c>
      <c r="K85">
        <f>SUMIFS(Table1[WL],Table1[Month],K$25,Table1[Customer],$B85)</f>
        <v>0</v>
      </c>
      <c r="L85">
        <f>SUMIFS(Table1[WL],Table1[Month],L$25,Table1[Customer],$B85)</f>
        <v>0</v>
      </c>
      <c r="M85">
        <f>SUMIFS(Table1[WL],Table1[Month],M$25,Table1[Customer],$B85)</f>
        <v>0</v>
      </c>
      <c r="N85">
        <f>SUMIFS(Table1[WL],Table1[Month],N$25,Table1[Customer],$B85)</f>
        <v>0</v>
      </c>
    </row>
    <row r="86" spans="2:14" x14ac:dyDescent="0.3">
      <c r="B86" s="3" t="e" cm="1">
        <f t="array" ref="B86">INDEX('WL Records'!$C2:$C1725, MATCH(0, COUNTIF($B$38:B85, 'WL Records'!$C2:$C1725), 0))</f>
        <v>#N/A</v>
      </c>
      <c r="C86">
        <f>SUMIFS(Table1[WL],Table1[Month],C$25,Table1[Customer],$B86)</f>
        <v>0</v>
      </c>
      <c r="D86">
        <f>SUMIFS(Table1[WL],Table1[Month],D$25,Table1[Customer],$B86)</f>
        <v>0</v>
      </c>
      <c r="E86">
        <f>SUMIFS(Table1[WL],Table1[Month],E$25,Table1[Customer],$B86)</f>
        <v>0</v>
      </c>
      <c r="F86">
        <f>SUMIFS(Table1[WL],Table1[Month],F$25,Table1[Customer],$B86)</f>
        <v>0</v>
      </c>
      <c r="G86">
        <f>SUMIFS(Table1[WL],Table1[Month],G$25,Table1[Customer],$B86)</f>
        <v>0</v>
      </c>
      <c r="H86">
        <f>SUMIFS(Table1[WL],Table1[Month],H$25,Table1[Customer],$B86)</f>
        <v>0</v>
      </c>
      <c r="I86">
        <f>SUMIFS(Table1[WL],Table1[Month],I$25,Table1[Customer],$B86)</f>
        <v>0</v>
      </c>
      <c r="J86">
        <f>SUMIFS(Table1[WL],Table1[Month],J$25,Table1[Customer],$B86)</f>
        <v>0</v>
      </c>
      <c r="K86">
        <f>SUMIFS(Table1[WL],Table1[Month],K$25,Table1[Customer],$B86)</f>
        <v>0</v>
      </c>
      <c r="L86">
        <f>SUMIFS(Table1[WL],Table1[Month],L$25,Table1[Customer],$B86)</f>
        <v>0</v>
      </c>
      <c r="M86">
        <f>SUMIFS(Table1[WL],Table1[Month],M$25,Table1[Customer],$B86)</f>
        <v>0</v>
      </c>
      <c r="N86">
        <f>SUMIFS(Table1[WL],Table1[Month],N$25,Table1[Customer],$B86)</f>
        <v>0</v>
      </c>
    </row>
    <row r="87" spans="2:14" x14ac:dyDescent="0.3">
      <c r="B87" s="3" t="e" cm="1">
        <f t="array" ref="B87">INDEX('WL Records'!$C2:$C1726, MATCH(0, COUNTIF($B$38:B86, 'WL Records'!$C2:$C1726), 0))</f>
        <v>#N/A</v>
      </c>
      <c r="C87">
        <f>SUMIFS(Table1[WL],Table1[Month],C$25,Table1[Customer],$B87)</f>
        <v>0</v>
      </c>
      <c r="D87">
        <f>SUMIFS(Table1[WL],Table1[Month],D$25,Table1[Customer],$B87)</f>
        <v>0</v>
      </c>
      <c r="E87">
        <f>SUMIFS(Table1[WL],Table1[Month],E$25,Table1[Customer],$B87)</f>
        <v>0</v>
      </c>
      <c r="F87">
        <f>SUMIFS(Table1[WL],Table1[Month],F$25,Table1[Customer],$B87)</f>
        <v>0</v>
      </c>
      <c r="G87">
        <f>SUMIFS(Table1[WL],Table1[Month],G$25,Table1[Customer],$B87)</f>
        <v>0</v>
      </c>
      <c r="H87">
        <f>SUMIFS(Table1[WL],Table1[Month],H$25,Table1[Customer],$B87)</f>
        <v>0</v>
      </c>
      <c r="I87">
        <f>SUMIFS(Table1[WL],Table1[Month],I$25,Table1[Customer],$B87)</f>
        <v>0</v>
      </c>
      <c r="J87">
        <f>SUMIFS(Table1[WL],Table1[Month],J$25,Table1[Customer],$B87)</f>
        <v>0</v>
      </c>
      <c r="K87">
        <f>SUMIFS(Table1[WL],Table1[Month],K$25,Table1[Customer],$B87)</f>
        <v>0</v>
      </c>
      <c r="L87">
        <f>SUMIFS(Table1[WL],Table1[Month],L$25,Table1[Customer],$B87)</f>
        <v>0</v>
      </c>
      <c r="M87">
        <f>SUMIFS(Table1[WL],Table1[Month],M$25,Table1[Customer],$B87)</f>
        <v>0</v>
      </c>
      <c r="N87">
        <f>SUMIFS(Table1[WL],Table1[Month],N$25,Table1[Customer],$B87)</f>
        <v>0</v>
      </c>
    </row>
    <row r="88" spans="2:14" x14ac:dyDescent="0.3">
      <c r="B88" s="3" t="e" cm="1">
        <f t="array" ref="B88">INDEX('WL Records'!$C2:$C1727, MATCH(0, COUNTIF($B$38:B87, 'WL Records'!$C2:$C1727), 0))</f>
        <v>#N/A</v>
      </c>
      <c r="C88">
        <f>SUMIFS(Table1[WL],Table1[Month],C$25,Table1[Customer],$B88)</f>
        <v>0</v>
      </c>
      <c r="D88">
        <f>SUMIFS(Table1[WL],Table1[Month],D$25,Table1[Customer],$B88)</f>
        <v>0</v>
      </c>
      <c r="E88">
        <f>SUMIFS(Table1[WL],Table1[Month],E$25,Table1[Customer],$B88)</f>
        <v>0</v>
      </c>
      <c r="F88">
        <f>SUMIFS(Table1[WL],Table1[Month],F$25,Table1[Customer],$B88)</f>
        <v>0</v>
      </c>
      <c r="G88">
        <f>SUMIFS(Table1[WL],Table1[Month],G$25,Table1[Customer],$B88)</f>
        <v>0</v>
      </c>
      <c r="H88">
        <f>SUMIFS(Table1[WL],Table1[Month],H$25,Table1[Customer],$B88)</f>
        <v>0</v>
      </c>
      <c r="I88">
        <f>SUMIFS(Table1[WL],Table1[Month],I$25,Table1[Customer],$B88)</f>
        <v>0</v>
      </c>
      <c r="J88">
        <f>SUMIFS(Table1[WL],Table1[Month],J$25,Table1[Customer],$B88)</f>
        <v>0</v>
      </c>
      <c r="K88">
        <f>SUMIFS(Table1[WL],Table1[Month],K$25,Table1[Customer],$B88)</f>
        <v>0</v>
      </c>
      <c r="L88">
        <f>SUMIFS(Table1[WL],Table1[Month],L$25,Table1[Customer],$B88)</f>
        <v>0</v>
      </c>
      <c r="M88">
        <f>SUMIFS(Table1[WL],Table1[Month],M$25,Table1[Customer],$B88)</f>
        <v>0</v>
      </c>
      <c r="N88">
        <f>SUMIFS(Table1[WL],Table1[Month],N$25,Table1[Customer],$B88)</f>
        <v>0</v>
      </c>
    </row>
    <row r="89" spans="2:14" x14ac:dyDescent="0.3">
      <c r="B89" s="3" t="e" cm="1">
        <f t="array" ref="B89">INDEX('WL Records'!$C2:$C1728, MATCH(0, COUNTIF($B$38:B88, 'WL Records'!$C2:$C1728), 0))</f>
        <v>#N/A</v>
      </c>
      <c r="C89">
        <f>SUMIFS(Table1[WL],Table1[Month],C$25,Table1[Customer],$B89)</f>
        <v>0</v>
      </c>
      <c r="D89">
        <f>SUMIFS(Table1[WL],Table1[Month],D$25,Table1[Customer],$B89)</f>
        <v>0</v>
      </c>
      <c r="E89">
        <f>SUMIFS(Table1[WL],Table1[Month],E$25,Table1[Customer],$B89)</f>
        <v>0</v>
      </c>
      <c r="F89">
        <f>SUMIFS(Table1[WL],Table1[Month],F$25,Table1[Customer],$B89)</f>
        <v>0</v>
      </c>
      <c r="G89">
        <f>SUMIFS(Table1[WL],Table1[Month],G$25,Table1[Customer],$B89)</f>
        <v>0</v>
      </c>
      <c r="H89">
        <f>SUMIFS(Table1[WL],Table1[Month],H$25,Table1[Customer],$B89)</f>
        <v>0</v>
      </c>
      <c r="I89">
        <f>SUMIFS(Table1[WL],Table1[Month],I$25,Table1[Customer],$B89)</f>
        <v>0</v>
      </c>
      <c r="J89">
        <f>SUMIFS(Table1[WL],Table1[Month],J$25,Table1[Customer],$B89)</f>
        <v>0</v>
      </c>
      <c r="K89">
        <f>SUMIFS(Table1[WL],Table1[Month],K$25,Table1[Customer],$B89)</f>
        <v>0</v>
      </c>
      <c r="L89">
        <f>SUMIFS(Table1[WL],Table1[Month],L$25,Table1[Customer],$B89)</f>
        <v>0</v>
      </c>
      <c r="M89">
        <f>SUMIFS(Table1[WL],Table1[Month],M$25,Table1[Customer],$B89)</f>
        <v>0</v>
      </c>
      <c r="N89">
        <f>SUMIFS(Table1[WL],Table1[Month],N$25,Table1[Customer],$B89)</f>
        <v>0</v>
      </c>
    </row>
    <row r="90" spans="2:14" x14ac:dyDescent="0.3">
      <c r="B90" s="3" t="e" cm="1">
        <f t="array" ref="B90">INDEX('WL Records'!$C2:$C1729, MATCH(0, COUNTIF($B$38:B89, 'WL Records'!$C2:$C1729), 0))</f>
        <v>#N/A</v>
      </c>
      <c r="C90">
        <f>SUMIFS(Table1[WL],Table1[Month],C$25,Table1[Customer],$B90)</f>
        <v>0</v>
      </c>
      <c r="D90">
        <f>SUMIFS(Table1[WL],Table1[Month],D$25,Table1[Customer],$B90)</f>
        <v>0</v>
      </c>
      <c r="E90">
        <f>SUMIFS(Table1[WL],Table1[Month],E$25,Table1[Customer],$B90)</f>
        <v>0</v>
      </c>
      <c r="F90">
        <f>SUMIFS(Table1[WL],Table1[Month],F$25,Table1[Customer],$B90)</f>
        <v>0</v>
      </c>
      <c r="G90">
        <f>SUMIFS(Table1[WL],Table1[Month],G$25,Table1[Customer],$B90)</f>
        <v>0</v>
      </c>
      <c r="H90">
        <f>SUMIFS(Table1[WL],Table1[Month],H$25,Table1[Customer],$B90)</f>
        <v>0</v>
      </c>
      <c r="I90">
        <f>SUMIFS(Table1[WL],Table1[Month],I$25,Table1[Customer],$B90)</f>
        <v>0</v>
      </c>
      <c r="J90">
        <f>SUMIFS(Table1[WL],Table1[Month],J$25,Table1[Customer],$B90)</f>
        <v>0</v>
      </c>
      <c r="K90">
        <f>SUMIFS(Table1[WL],Table1[Month],K$25,Table1[Customer],$B90)</f>
        <v>0</v>
      </c>
      <c r="L90">
        <f>SUMIFS(Table1[WL],Table1[Month],L$25,Table1[Customer],$B90)</f>
        <v>0</v>
      </c>
      <c r="M90">
        <f>SUMIFS(Table1[WL],Table1[Month],M$25,Table1[Customer],$B90)</f>
        <v>0</v>
      </c>
      <c r="N90">
        <f>SUMIFS(Table1[WL],Table1[Month],N$25,Table1[Customer],$B90)</f>
        <v>0</v>
      </c>
    </row>
    <row r="91" spans="2:14" x14ac:dyDescent="0.3">
      <c r="B91" s="3" t="e" cm="1">
        <f t="array" ref="B91">INDEX('WL Records'!$C2:$C1730, MATCH(0, COUNTIF($B$38:B90, 'WL Records'!$C2:$C1730), 0))</f>
        <v>#N/A</v>
      </c>
      <c r="C91">
        <f>SUMIFS(Table1[WL],Table1[Month],C$25,Table1[Customer],$B91)</f>
        <v>0</v>
      </c>
      <c r="D91">
        <f>SUMIFS(Table1[WL],Table1[Month],D$25,Table1[Customer],$B91)</f>
        <v>0</v>
      </c>
      <c r="E91">
        <f>SUMIFS(Table1[WL],Table1[Month],E$25,Table1[Customer],$B91)</f>
        <v>0</v>
      </c>
      <c r="F91">
        <f>SUMIFS(Table1[WL],Table1[Month],F$25,Table1[Customer],$B91)</f>
        <v>0</v>
      </c>
      <c r="G91">
        <f>SUMIFS(Table1[WL],Table1[Month],G$25,Table1[Customer],$B91)</f>
        <v>0</v>
      </c>
      <c r="H91">
        <f>SUMIFS(Table1[WL],Table1[Month],H$25,Table1[Customer],$B91)</f>
        <v>0</v>
      </c>
      <c r="I91">
        <f>SUMIFS(Table1[WL],Table1[Month],I$25,Table1[Customer],$B91)</f>
        <v>0</v>
      </c>
      <c r="J91">
        <f>SUMIFS(Table1[WL],Table1[Month],J$25,Table1[Customer],$B91)</f>
        <v>0</v>
      </c>
      <c r="K91">
        <f>SUMIFS(Table1[WL],Table1[Month],K$25,Table1[Customer],$B91)</f>
        <v>0</v>
      </c>
      <c r="L91">
        <f>SUMIFS(Table1[WL],Table1[Month],L$25,Table1[Customer],$B91)</f>
        <v>0</v>
      </c>
      <c r="M91">
        <f>SUMIFS(Table1[WL],Table1[Month],M$25,Table1[Customer],$B91)</f>
        <v>0</v>
      </c>
      <c r="N91">
        <f>SUMIFS(Table1[WL],Table1[Month],N$25,Table1[Customer],$B91)</f>
        <v>0</v>
      </c>
    </row>
    <row r="92" spans="2:14" x14ac:dyDescent="0.3">
      <c r="B92" s="3" t="e" cm="1">
        <f t="array" ref="B92">INDEX('WL Records'!$C2:$C1731, MATCH(0, COUNTIF($B$38:B91, 'WL Records'!$C2:$C1731), 0))</f>
        <v>#N/A</v>
      </c>
      <c r="C92">
        <f>SUMIFS(Table1[WL],Table1[Month],C$25,Table1[Customer],$B92)</f>
        <v>0</v>
      </c>
      <c r="D92">
        <f>SUMIFS(Table1[WL],Table1[Month],D$25,Table1[Customer],$B92)</f>
        <v>0</v>
      </c>
      <c r="E92">
        <f>SUMIFS(Table1[WL],Table1[Month],E$25,Table1[Customer],$B92)</f>
        <v>0</v>
      </c>
      <c r="F92">
        <f>SUMIFS(Table1[WL],Table1[Month],F$25,Table1[Customer],$B92)</f>
        <v>0</v>
      </c>
      <c r="G92">
        <f>SUMIFS(Table1[WL],Table1[Month],G$25,Table1[Customer],$B92)</f>
        <v>0</v>
      </c>
      <c r="H92">
        <f>SUMIFS(Table1[WL],Table1[Month],H$25,Table1[Customer],$B92)</f>
        <v>0</v>
      </c>
      <c r="I92">
        <f>SUMIFS(Table1[WL],Table1[Month],I$25,Table1[Customer],$B92)</f>
        <v>0</v>
      </c>
      <c r="J92">
        <f>SUMIFS(Table1[WL],Table1[Month],J$25,Table1[Customer],$B92)</f>
        <v>0</v>
      </c>
      <c r="K92">
        <f>SUMIFS(Table1[WL],Table1[Month],K$25,Table1[Customer],$B92)</f>
        <v>0</v>
      </c>
      <c r="L92">
        <f>SUMIFS(Table1[WL],Table1[Month],L$25,Table1[Customer],$B92)</f>
        <v>0</v>
      </c>
      <c r="M92">
        <f>SUMIFS(Table1[WL],Table1[Month],M$25,Table1[Customer],$B92)</f>
        <v>0</v>
      </c>
      <c r="N92">
        <f>SUMIFS(Table1[WL],Table1[Month],N$25,Table1[Customer],$B92)</f>
        <v>0</v>
      </c>
    </row>
    <row r="93" spans="2:14" x14ac:dyDescent="0.3">
      <c r="B93" s="3" t="e" cm="1">
        <f t="array" ref="B93">INDEX('WL Records'!$C2:$C1732, MATCH(0, COUNTIF($B$38:B92, 'WL Records'!$C2:$C1732), 0))</f>
        <v>#N/A</v>
      </c>
      <c r="C93">
        <f>SUMIFS(Table1[WL],Table1[Month],C$25,Table1[Customer],$B93)</f>
        <v>0</v>
      </c>
      <c r="D93">
        <f>SUMIFS(Table1[WL],Table1[Month],D$25,Table1[Customer],$B93)</f>
        <v>0</v>
      </c>
      <c r="E93">
        <f>SUMIFS(Table1[WL],Table1[Month],E$25,Table1[Customer],$B93)</f>
        <v>0</v>
      </c>
      <c r="F93">
        <f>SUMIFS(Table1[WL],Table1[Month],F$25,Table1[Customer],$B93)</f>
        <v>0</v>
      </c>
      <c r="G93">
        <f>SUMIFS(Table1[WL],Table1[Month],G$25,Table1[Customer],$B93)</f>
        <v>0</v>
      </c>
      <c r="H93">
        <f>SUMIFS(Table1[WL],Table1[Month],H$25,Table1[Customer],$B93)</f>
        <v>0</v>
      </c>
      <c r="I93">
        <f>SUMIFS(Table1[WL],Table1[Month],I$25,Table1[Customer],$B93)</f>
        <v>0</v>
      </c>
      <c r="J93">
        <f>SUMIFS(Table1[WL],Table1[Month],J$25,Table1[Customer],$B93)</f>
        <v>0</v>
      </c>
      <c r="K93">
        <f>SUMIFS(Table1[WL],Table1[Month],K$25,Table1[Customer],$B93)</f>
        <v>0</v>
      </c>
      <c r="L93">
        <f>SUMIFS(Table1[WL],Table1[Month],L$25,Table1[Customer],$B93)</f>
        <v>0</v>
      </c>
      <c r="M93">
        <f>SUMIFS(Table1[WL],Table1[Month],M$25,Table1[Customer],$B93)</f>
        <v>0</v>
      </c>
      <c r="N93">
        <f>SUMIFS(Table1[WL],Table1[Month],N$25,Table1[Customer],$B93)</f>
        <v>0</v>
      </c>
    </row>
    <row r="94" spans="2:14" x14ac:dyDescent="0.3">
      <c r="B94" s="3" t="e" cm="1">
        <f t="array" ref="B94">INDEX('WL Records'!$C2:$C1733, MATCH(0, COUNTIF($B$38:B93, 'WL Records'!$C2:$C1733), 0))</f>
        <v>#N/A</v>
      </c>
      <c r="C94">
        <f>SUMIFS(Table1[WL],Table1[Month],C$25,Table1[Customer],$B94)</f>
        <v>0</v>
      </c>
      <c r="D94">
        <f>SUMIFS(Table1[WL],Table1[Month],D$25,Table1[Customer],$B94)</f>
        <v>0</v>
      </c>
      <c r="E94">
        <f>SUMIFS(Table1[WL],Table1[Month],E$25,Table1[Customer],$B94)</f>
        <v>0</v>
      </c>
      <c r="F94">
        <f>SUMIFS(Table1[WL],Table1[Month],F$25,Table1[Customer],$B94)</f>
        <v>0</v>
      </c>
      <c r="G94">
        <f>SUMIFS(Table1[WL],Table1[Month],G$25,Table1[Customer],$B94)</f>
        <v>0</v>
      </c>
      <c r="H94">
        <f>SUMIFS(Table1[WL],Table1[Month],H$25,Table1[Customer],$B94)</f>
        <v>0</v>
      </c>
      <c r="I94">
        <f>SUMIFS(Table1[WL],Table1[Month],I$25,Table1[Customer],$B94)</f>
        <v>0</v>
      </c>
      <c r="J94">
        <f>SUMIFS(Table1[WL],Table1[Month],J$25,Table1[Customer],$B94)</f>
        <v>0</v>
      </c>
      <c r="K94">
        <f>SUMIFS(Table1[WL],Table1[Month],K$25,Table1[Customer],$B94)</f>
        <v>0</v>
      </c>
      <c r="L94">
        <f>SUMIFS(Table1[WL],Table1[Month],L$25,Table1[Customer],$B94)</f>
        <v>0</v>
      </c>
      <c r="M94">
        <f>SUMIFS(Table1[WL],Table1[Month],M$25,Table1[Customer],$B94)</f>
        <v>0</v>
      </c>
      <c r="N94">
        <f>SUMIFS(Table1[WL],Table1[Month],N$25,Table1[Customer],$B94)</f>
        <v>0</v>
      </c>
    </row>
    <row r="95" spans="2:14" x14ac:dyDescent="0.3">
      <c r="B95" s="3" t="e" cm="1">
        <f t="array" ref="B95">INDEX('WL Records'!$C2:$C1734, MATCH(0, COUNTIF($B$38:B94, 'WL Records'!$C2:$C1734), 0))</f>
        <v>#N/A</v>
      </c>
      <c r="C95">
        <f>SUMIFS(Table1[WL],Table1[Month],C$25,Table1[Customer],$B95)</f>
        <v>0</v>
      </c>
      <c r="D95">
        <f>SUMIFS(Table1[WL],Table1[Month],D$25,Table1[Customer],$B95)</f>
        <v>0</v>
      </c>
      <c r="E95">
        <f>SUMIFS(Table1[WL],Table1[Month],E$25,Table1[Customer],$B95)</f>
        <v>0</v>
      </c>
      <c r="F95">
        <f>SUMIFS(Table1[WL],Table1[Month],F$25,Table1[Customer],$B95)</f>
        <v>0</v>
      </c>
      <c r="G95">
        <f>SUMIFS(Table1[WL],Table1[Month],G$25,Table1[Customer],$B95)</f>
        <v>0</v>
      </c>
      <c r="H95">
        <f>SUMIFS(Table1[WL],Table1[Month],H$25,Table1[Customer],$B95)</f>
        <v>0</v>
      </c>
      <c r="I95">
        <f>SUMIFS(Table1[WL],Table1[Month],I$25,Table1[Customer],$B95)</f>
        <v>0</v>
      </c>
      <c r="J95">
        <f>SUMIFS(Table1[WL],Table1[Month],J$25,Table1[Customer],$B95)</f>
        <v>0</v>
      </c>
      <c r="K95">
        <f>SUMIFS(Table1[WL],Table1[Month],K$25,Table1[Customer],$B95)</f>
        <v>0</v>
      </c>
      <c r="L95">
        <f>SUMIFS(Table1[WL],Table1[Month],L$25,Table1[Customer],$B95)</f>
        <v>0</v>
      </c>
      <c r="M95">
        <f>SUMIFS(Table1[WL],Table1[Month],M$25,Table1[Customer],$B95)</f>
        <v>0</v>
      </c>
      <c r="N95">
        <f>SUMIFS(Table1[WL],Table1[Month],N$25,Table1[Customer],$B95)</f>
        <v>0</v>
      </c>
    </row>
    <row r="96" spans="2:14" x14ac:dyDescent="0.3">
      <c r="B96" s="3" t="e" cm="1">
        <f t="array" ref="B96">INDEX('WL Records'!$C2:$C1735, MATCH(0, COUNTIF($B$38:B95, 'WL Records'!$C2:$C1735), 0))</f>
        <v>#N/A</v>
      </c>
      <c r="C96">
        <f>SUMIFS(Table1[WL],Table1[Month],C$25,Table1[Customer],$B96)</f>
        <v>0</v>
      </c>
      <c r="D96">
        <f>SUMIFS(Table1[WL],Table1[Month],D$25,Table1[Customer],$B96)</f>
        <v>0</v>
      </c>
      <c r="E96">
        <f>SUMIFS(Table1[WL],Table1[Month],E$25,Table1[Customer],$B96)</f>
        <v>0</v>
      </c>
      <c r="F96">
        <f>SUMIFS(Table1[WL],Table1[Month],F$25,Table1[Customer],$B96)</f>
        <v>0</v>
      </c>
      <c r="G96">
        <f>SUMIFS(Table1[WL],Table1[Month],G$25,Table1[Customer],$B96)</f>
        <v>0</v>
      </c>
      <c r="H96">
        <f>SUMIFS(Table1[WL],Table1[Month],H$25,Table1[Customer],$B96)</f>
        <v>0</v>
      </c>
      <c r="I96">
        <f>SUMIFS(Table1[WL],Table1[Month],I$25,Table1[Customer],$B96)</f>
        <v>0</v>
      </c>
      <c r="J96">
        <f>SUMIFS(Table1[WL],Table1[Month],J$25,Table1[Customer],$B96)</f>
        <v>0</v>
      </c>
      <c r="K96">
        <f>SUMIFS(Table1[WL],Table1[Month],K$25,Table1[Customer],$B96)</f>
        <v>0</v>
      </c>
      <c r="L96">
        <f>SUMIFS(Table1[WL],Table1[Month],L$25,Table1[Customer],$B96)</f>
        <v>0</v>
      </c>
      <c r="M96">
        <f>SUMIFS(Table1[WL],Table1[Month],M$25,Table1[Customer],$B96)</f>
        <v>0</v>
      </c>
      <c r="N96">
        <f>SUMIFS(Table1[WL],Table1[Month],N$25,Table1[Customer],$B96)</f>
        <v>0</v>
      </c>
    </row>
    <row r="97" spans="2:14" x14ac:dyDescent="0.3">
      <c r="B97" s="3" t="e" cm="1">
        <f t="array" ref="B97">INDEX('WL Records'!$C2:$C1736, MATCH(0, COUNTIF($B$38:B96, 'WL Records'!$C2:$C1736), 0))</f>
        <v>#N/A</v>
      </c>
      <c r="C97">
        <f>SUMIFS(Table1[WL],Table1[Month],C$25,Table1[Customer],$B97)</f>
        <v>0</v>
      </c>
      <c r="D97">
        <f>SUMIFS(Table1[WL],Table1[Month],D$25,Table1[Customer],$B97)</f>
        <v>0</v>
      </c>
      <c r="E97">
        <f>SUMIFS(Table1[WL],Table1[Month],E$25,Table1[Customer],$B97)</f>
        <v>0</v>
      </c>
      <c r="F97">
        <f>SUMIFS(Table1[WL],Table1[Month],F$25,Table1[Customer],$B97)</f>
        <v>0</v>
      </c>
      <c r="G97">
        <f>SUMIFS(Table1[WL],Table1[Month],G$25,Table1[Customer],$B97)</f>
        <v>0</v>
      </c>
      <c r="H97">
        <f>SUMIFS(Table1[WL],Table1[Month],H$25,Table1[Customer],$B97)</f>
        <v>0</v>
      </c>
      <c r="I97">
        <f>SUMIFS(Table1[WL],Table1[Month],I$25,Table1[Customer],$B97)</f>
        <v>0</v>
      </c>
      <c r="J97">
        <f>SUMIFS(Table1[WL],Table1[Month],J$25,Table1[Customer],$B97)</f>
        <v>0</v>
      </c>
      <c r="K97">
        <f>SUMIFS(Table1[WL],Table1[Month],K$25,Table1[Customer],$B97)</f>
        <v>0</v>
      </c>
      <c r="L97">
        <f>SUMIFS(Table1[WL],Table1[Month],L$25,Table1[Customer],$B97)</f>
        <v>0</v>
      </c>
      <c r="M97">
        <f>SUMIFS(Table1[WL],Table1[Month],M$25,Table1[Customer],$B97)</f>
        <v>0</v>
      </c>
      <c r="N97">
        <f>SUMIFS(Table1[WL],Table1[Month],N$25,Table1[Customer],$B97)</f>
        <v>0</v>
      </c>
    </row>
    <row r="98" spans="2:14" x14ac:dyDescent="0.3">
      <c r="B98" s="3" t="e" cm="1">
        <f t="array" ref="B98">INDEX('WL Records'!$C2:$C1737, MATCH(0, COUNTIF($B$38:B97, 'WL Records'!$C2:$C1737), 0))</f>
        <v>#N/A</v>
      </c>
      <c r="C98">
        <f>SUMIFS(Table1[WL],Table1[Month],C$25,Table1[Customer],$B98)</f>
        <v>0</v>
      </c>
      <c r="D98">
        <f>SUMIFS(Table1[WL],Table1[Month],D$25,Table1[Customer],$B98)</f>
        <v>0</v>
      </c>
      <c r="E98">
        <f>SUMIFS(Table1[WL],Table1[Month],E$25,Table1[Customer],$B98)</f>
        <v>0</v>
      </c>
      <c r="F98">
        <f>SUMIFS(Table1[WL],Table1[Month],F$25,Table1[Customer],$B98)</f>
        <v>0</v>
      </c>
      <c r="G98">
        <f>SUMIFS(Table1[WL],Table1[Month],G$25,Table1[Customer],$B98)</f>
        <v>0</v>
      </c>
      <c r="H98">
        <f>SUMIFS(Table1[WL],Table1[Month],H$25,Table1[Customer],$B98)</f>
        <v>0</v>
      </c>
      <c r="I98">
        <f>SUMIFS(Table1[WL],Table1[Month],I$25,Table1[Customer],$B98)</f>
        <v>0</v>
      </c>
      <c r="J98">
        <f>SUMIFS(Table1[WL],Table1[Month],J$25,Table1[Customer],$B98)</f>
        <v>0</v>
      </c>
      <c r="K98">
        <f>SUMIFS(Table1[WL],Table1[Month],K$25,Table1[Customer],$B98)</f>
        <v>0</v>
      </c>
      <c r="L98">
        <f>SUMIFS(Table1[WL],Table1[Month],L$25,Table1[Customer],$B98)</f>
        <v>0</v>
      </c>
      <c r="M98">
        <f>SUMIFS(Table1[WL],Table1[Month],M$25,Table1[Customer],$B98)</f>
        <v>0</v>
      </c>
      <c r="N98">
        <f>SUMIFS(Table1[WL],Table1[Month],N$25,Table1[Customer],$B98)</f>
        <v>0</v>
      </c>
    </row>
    <row r="99" spans="2:14" x14ac:dyDescent="0.3">
      <c r="B99" s="3" t="e" cm="1">
        <f t="array" ref="B99">INDEX('WL Records'!$C2:$C1738, MATCH(0, COUNTIF($B$38:B98, 'WL Records'!$C2:$C1738), 0))</f>
        <v>#N/A</v>
      </c>
      <c r="C99">
        <f>SUMIFS(Table1[WL],Table1[Month],C$25,Table1[Customer],$B99)</f>
        <v>0</v>
      </c>
      <c r="D99">
        <f>SUMIFS(Table1[WL],Table1[Month],D$25,Table1[Customer],$B99)</f>
        <v>0</v>
      </c>
      <c r="E99">
        <f>SUMIFS(Table1[WL],Table1[Month],E$25,Table1[Customer],$B99)</f>
        <v>0</v>
      </c>
      <c r="F99">
        <f>SUMIFS(Table1[WL],Table1[Month],F$25,Table1[Customer],$B99)</f>
        <v>0</v>
      </c>
      <c r="G99">
        <f>SUMIFS(Table1[WL],Table1[Month],G$25,Table1[Customer],$B99)</f>
        <v>0</v>
      </c>
      <c r="H99">
        <f>SUMIFS(Table1[WL],Table1[Month],H$25,Table1[Customer],$B99)</f>
        <v>0</v>
      </c>
      <c r="I99">
        <f>SUMIFS(Table1[WL],Table1[Month],I$25,Table1[Customer],$B99)</f>
        <v>0</v>
      </c>
      <c r="J99">
        <f>SUMIFS(Table1[WL],Table1[Month],J$25,Table1[Customer],$B99)</f>
        <v>0</v>
      </c>
      <c r="K99">
        <f>SUMIFS(Table1[WL],Table1[Month],K$25,Table1[Customer],$B99)</f>
        <v>0</v>
      </c>
      <c r="L99">
        <f>SUMIFS(Table1[WL],Table1[Month],L$25,Table1[Customer],$B99)</f>
        <v>0</v>
      </c>
      <c r="M99">
        <f>SUMIFS(Table1[WL],Table1[Month],M$25,Table1[Customer],$B99)</f>
        <v>0</v>
      </c>
      <c r="N99">
        <f>SUMIFS(Table1[WL],Table1[Month],N$25,Table1[Customer],$B99)</f>
        <v>0</v>
      </c>
    </row>
    <row r="100" spans="2:14" x14ac:dyDescent="0.3">
      <c r="B100" s="3" t="e" cm="1">
        <f t="array" ref="B100">INDEX('WL Records'!$C2:$C1739, MATCH(0, COUNTIF($B$38:B99, 'WL Records'!$C2:$C1739), 0))</f>
        <v>#N/A</v>
      </c>
      <c r="C100">
        <f>SUMIFS(Table1[WL],Table1[Month],C$25,Table1[Customer],$B100)</f>
        <v>0</v>
      </c>
      <c r="D100">
        <f>SUMIFS(Table1[WL],Table1[Month],D$25,Table1[Customer],$B100)</f>
        <v>0</v>
      </c>
      <c r="E100">
        <f>SUMIFS(Table1[WL],Table1[Month],E$25,Table1[Customer],$B100)</f>
        <v>0</v>
      </c>
      <c r="F100">
        <f>SUMIFS(Table1[WL],Table1[Month],F$25,Table1[Customer],$B100)</f>
        <v>0</v>
      </c>
      <c r="G100">
        <f>SUMIFS(Table1[WL],Table1[Month],G$25,Table1[Customer],$B100)</f>
        <v>0</v>
      </c>
      <c r="H100">
        <f>SUMIFS(Table1[WL],Table1[Month],H$25,Table1[Customer],$B100)</f>
        <v>0</v>
      </c>
      <c r="I100">
        <f>SUMIFS(Table1[WL],Table1[Month],I$25,Table1[Customer],$B100)</f>
        <v>0</v>
      </c>
      <c r="J100">
        <f>SUMIFS(Table1[WL],Table1[Month],J$25,Table1[Customer],$B100)</f>
        <v>0</v>
      </c>
      <c r="K100">
        <f>SUMIFS(Table1[WL],Table1[Month],K$25,Table1[Customer],$B100)</f>
        <v>0</v>
      </c>
      <c r="L100">
        <f>SUMIFS(Table1[WL],Table1[Month],L$25,Table1[Customer],$B100)</f>
        <v>0</v>
      </c>
      <c r="M100">
        <f>SUMIFS(Table1[WL],Table1[Month],M$25,Table1[Customer],$B100)</f>
        <v>0</v>
      </c>
      <c r="N100">
        <f>SUMIFS(Table1[WL],Table1[Month],N$25,Table1[Customer],$B100)</f>
        <v>0</v>
      </c>
    </row>
    <row r="101" spans="2:14" x14ac:dyDescent="0.3">
      <c r="B101" s="3" t="e" cm="1">
        <f t="array" ref="B101">INDEX('WL Records'!$C2:$C1740, MATCH(0, COUNTIF($B$38:B100, 'WL Records'!$C2:$C1740), 0))</f>
        <v>#N/A</v>
      </c>
      <c r="C101">
        <f>SUMIFS(Table1[WL],Table1[Month],C$25,Table1[Customer],$B101)</f>
        <v>0</v>
      </c>
      <c r="D101">
        <f>SUMIFS(Table1[WL],Table1[Month],D$25,Table1[Customer],$B101)</f>
        <v>0</v>
      </c>
      <c r="E101">
        <f>SUMIFS(Table1[WL],Table1[Month],E$25,Table1[Customer],$B101)</f>
        <v>0</v>
      </c>
      <c r="F101">
        <f>SUMIFS(Table1[WL],Table1[Month],F$25,Table1[Customer],$B101)</f>
        <v>0</v>
      </c>
      <c r="G101">
        <f>SUMIFS(Table1[WL],Table1[Month],G$25,Table1[Customer],$B101)</f>
        <v>0</v>
      </c>
      <c r="H101">
        <f>SUMIFS(Table1[WL],Table1[Month],H$25,Table1[Customer],$B101)</f>
        <v>0</v>
      </c>
      <c r="I101">
        <f>SUMIFS(Table1[WL],Table1[Month],I$25,Table1[Customer],$B101)</f>
        <v>0</v>
      </c>
      <c r="J101">
        <f>SUMIFS(Table1[WL],Table1[Month],J$25,Table1[Customer],$B101)</f>
        <v>0</v>
      </c>
      <c r="K101">
        <f>SUMIFS(Table1[WL],Table1[Month],K$25,Table1[Customer],$B101)</f>
        <v>0</v>
      </c>
      <c r="L101">
        <f>SUMIFS(Table1[WL],Table1[Month],L$25,Table1[Customer],$B101)</f>
        <v>0</v>
      </c>
      <c r="M101">
        <f>SUMIFS(Table1[WL],Table1[Month],M$25,Table1[Customer],$B101)</f>
        <v>0</v>
      </c>
      <c r="N101">
        <f>SUMIFS(Table1[WL],Table1[Month],N$25,Table1[Customer],$B101)</f>
        <v>0</v>
      </c>
    </row>
    <row r="102" spans="2:14" x14ac:dyDescent="0.3">
      <c r="B102" s="3" t="e" cm="1">
        <f t="array" ref="B102">INDEX('WL Records'!$C2:$C1741, MATCH(0, COUNTIF($B$38:B101, 'WL Records'!$C2:$C1741), 0))</f>
        <v>#N/A</v>
      </c>
      <c r="C102">
        <f>SUMIFS(Table1[WL],Table1[Month],C$25,Table1[Customer],$B102)</f>
        <v>0</v>
      </c>
      <c r="D102">
        <f>SUMIFS(Table1[WL],Table1[Month],D$25,Table1[Customer],$B102)</f>
        <v>0</v>
      </c>
      <c r="E102">
        <f>SUMIFS(Table1[WL],Table1[Month],E$25,Table1[Customer],$B102)</f>
        <v>0</v>
      </c>
      <c r="F102">
        <f>SUMIFS(Table1[WL],Table1[Month],F$25,Table1[Customer],$B102)</f>
        <v>0</v>
      </c>
      <c r="G102">
        <f>SUMIFS(Table1[WL],Table1[Month],G$25,Table1[Customer],$B102)</f>
        <v>0</v>
      </c>
      <c r="H102">
        <f>SUMIFS(Table1[WL],Table1[Month],H$25,Table1[Customer],$B102)</f>
        <v>0</v>
      </c>
      <c r="I102">
        <f>SUMIFS(Table1[WL],Table1[Month],I$25,Table1[Customer],$B102)</f>
        <v>0</v>
      </c>
      <c r="J102">
        <f>SUMIFS(Table1[WL],Table1[Month],J$25,Table1[Customer],$B102)</f>
        <v>0</v>
      </c>
      <c r="K102">
        <f>SUMIFS(Table1[WL],Table1[Month],K$25,Table1[Customer],$B102)</f>
        <v>0</v>
      </c>
      <c r="L102">
        <f>SUMIFS(Table1[WL],Table1[Month],L$25,Table1[Customer],$B102)</f>
        <v>0</v>
      </c>
      <c r="M102">
        <f>SUMIFS(Table1[WL],Table1[Month],M$25,Table1[Customer],$B102)</f>
        <v>0</v>
      </c>
      <c r="N102">
        <f>SUMIFS(Table1[WL],Table1[Month],N$25,Table1[Customer],$B102)</f>
        <v>0</v>
      </c>
    </row>
    <row r="103" spans="2:14" x14ac:dyDescent="0.3">
      <c r="B103" s="3" t="e" cm="1">
        <f t="array" ref="B103">INDEX('WL Records'!$C2:$C1742, MATCH(0, COUNTIF($B$38:B102, 'WL Records'!$C2:$C1742), 0))</f>
        <v>#N/A</v>
      </c>
      <c r="C103">
        <f>SUMIFS(Table1[WL],Table1[Month],C$25,Table1[Customer],$B103)</f>
        <v>0</v>
      </c>
      <c r="D103">
        <f>SUMIFS(Table1[WL],Table1[Month],D$25,Table1[Customer],$B103)</f>
        <v>0</v>
      </c>
      <c r="E103">
        <f>SUMIFS(Table1[WL],Table1[Month],E$25,Table1[Customer],$B103)</f>
        <v>0</v>
      </c>
      <c r="F103">
        <f>SUMIFS(Table1[WL],Table1[Month],F$25,Table1[Customer],$B103)</f>
        <v>0</v>
      </c>
      <c r="G103">
        <f>SUMIFS(Table1[WL],Table1[Month],G$25,Table1[Customer],$B103)</f>
        <v>0</v>
      </c>
      <c r="H103">
        <f>SUMIFS(Table1[WL],Table1[Month],H$25,Table1[Customer],$B103)</f>
        <v>0</v>
      </c>
      <c r="I103">
        <f>SUMIFS(Table1[WL],Table1[Month],I$25,Table1[Customer],$B103)</f>
        <v>0</v>
      </c>
      <c r="J103">
        <f>SUMIFS(Table1[WL],Table1[Month],J$25,Table1[Customer],$B103)</f>
        <v>0</v>
      </c>
      <c r="K103">
        <f>SUMIFS(Table1[WL],Table1[Month],K$25,Table1[Customer],$B103)</f>
        <v>0</v>
      </c>
      <c r="L103">
        <f>SUMIFS(Table1[WL],Table1[Month],L$25,Table1[Customer],$B103)</f>
        <v>0</v>
      </c>
      <c r="M103">
        <f>SUMIFS(Table1[WL],Table1[Month],M$25,Table1[Customer],$B103)</f>
        <v>0</v>
      </c>
      <c r="N103">
        <f>SUMIFS(Table1[WL],Table1[Month],N$25,Table1[Customer],$B103)</f>
        <v>0</v>
      </c>
    </row>
    <row r="104" spans="2:14" x14ac:dyDescent="0.3">
      <c r="B104" s="3" t="e" cm="1">
        <f t="array" ref="B104">INDEX('WL Records'!$C2:$C1743, MATCH(0, COUNTIF($B$38:B103, 'WL Records'!$C2:$C1743), 0))</f>
        <v>#N/A</v>
      </c>
      <c r="C104">
        <f>SUMIFS(Table1[WL],Table1[Month],C$25,Table1[Customer],$B104)</f>
        <v>0</v>
      </c>
      <c r="D104">
        <f>SUMIFS(Table1[WL],Table1[Month],D$25,Table1[Customer],$B104)</f>
        <v>0</v>
      </c>
      <c r="E104">
        <f>SUMIFS(Table1[WL],Table1[Month],E$25,Table1[Customer],$B104)</f>
        <v>0</v>
      </c>
      <c r="F104">
        <f>SUMIFS(Table1[WL],Table1[Month],F$25,Table1[Customer],$B104)</f>
        <v>0</v>
      </c>
      <c r="G104">
        <f>SUMIFS(Table1[WL],Table1[Month],G$25,Table1[Customer],$B104)</f>
        <v>0</v>
      </c>
      <c r="H104">
        <f>SUMIFS(Table1[WL],Table1[Month],H$25,Table1[Customer],$B104)</f>
        <v>0</v>
      </c>
      <c r="I104">
        <f>SUMIFS(Table1[WL],Table1[Month],I$25,Table1[Customer],$B104)</f>
        <v>0</v>
      </c>
      <c r="J104">
        <f>SUMIFS(Table1[WL],Table1[Month],J$25,Table1[Customer],$B104)</f>
        <v>0</v>
      </c>
      <c r="K104">
        <f>SUMIFS(Table1[WL],Table1[Month],K$25,Table1[Customer],$B104)</f>
        <v>0</v>
      </c>
      <c r="L104">
        <f>SUMIFS(Table1[WL],Table1[Month],L$25,Table1[Customer],$B104)</f>
        <v>0</v>
      </c>
      <c r="M104">
        <f>SUMIFS(Table1[WL],Table1[Month],M$25,Table1[Customer],$B104)</f>
        <v>0</v>
      </c>
      <c r="N104">
        <f>SUMIFS(Table1[WL],Table1[Month],N$25,Table1[Customer],$B104)</f>
        <v>0</v>
      </c>
    </row>
    <row r="105" spans="2:14" x14ac:dyDescent="0.3">
      <c r="B105" s="3" t="e" cm="1">
        <f t="array" ref="B105">INDEX('WL Records'!$C2:$C1744, MATCH(0, COUNTIF($B$38:B104, 'WL Records'!$C2:$C1744), 0))</f>
        <v>#N/A</v>
      </c>
      <c r="C105">
        <f>SUMIFS(Table1[WL],Table1[Month],C$25,Table1[Customer],$B105)</f>
        <v>0</v>
      </c>
      <c r="D105">
        <f>SUMIFS(Table1[WL],Table1[Month],D$25,Table1[Customer],$B105)</f>
        <v>0</v>
      </c>
      <c r="E105">
        <f>SUMIFS(Table1[WL],Table1[Month],E$25,Table1[Customer],$B105)</f>
        <v>0</v>
      </c>
      <c r="F105">
        <f>SUMIFS(Table1[WL],Table1[Month],F$25,Table1[Customer],$B105)</f>
        <v>0</v>
      </c>
      <c r="G105">
        <f>SUMIFS(Table1[WL],Table1[Month],G$25,Table1[Customer],$B105)</f>
        <v>0</v>
      </c>
      <c r="H105">
        <f>SUMIFS(Table1[WL],Table1[Month],H$25,Table1[Customer],$B105)</f>
        <v>0</v>
      </c>
      <c r="I105">
        <f>SUMIFS(Table1[WL],Table1[Month],I$25,Table1[Customer],$B105)</f>
        <v>0</v>
      </c>
      <c r="J105">
        <f>SUMIFS(Table1[WL],Table1[Month],J$25,Table1[Customer],$B105)</f>
        <v>0</v>
      </c>
      <c r="K105">
        <f>SUMIFS(Table1[WL],Table1[Month],K$25,Table1[Customer],$B105)</f>
        <v>0</v>
      </c>
      <c r="L105">
        <f>SUMIFS(Table1[WL],Table1[Month],L$25,Table1[Customer],$B105)</f>
        <v>0</v>
      </c>
      <c r="M105">
        <f>SUMIFS(Table1[WL],Table1[Month],M$25,Table1[Customer],$B105)</f>
        <v>0</v>
      </c>
      <c r="N105">
        <f>SUMIFS(Table1[WL],Table1[Month],N$25,Table1[Customer],$B105)</f>
        <v>0</v>
      </c>
    </row>
    <row r="106" spans="2:14" x14ac:dyDescent="0.3">
      <c r="B106" s="3" t="e" cm="1">
        <f t="array" ref="B106">INDEX('WL Records'!$C2:$C1745, MATCH(0, COUNTIF($B$38:B105, 'WL Records'!$C2:$C1745), 0))</f>
        <v>#N/A</v>
      </c>
      <c r="C106">
        <f>SUMIFS(Table1[WL],Table1[Month],C$25,Table1[Customer],$B106)</f>
        <v>0</v>
      </c>
      <c r="D106">
        <f>SUMIFS(Table1[WL],Table1[Month],D$25,Table1[Customer],$B106)</f>
        <v>0</v>
      </c>
      <c r="E106">
        <f>SUMIFS(Table1[WL],Table1[Month],E$25,Table1[Customer],$B106)</f>
        <v>0</v>
      </c>
      <c r="F106">
        <f>SUMIFS(Table1[WL],Table1[Month],F$25,Table1[Customer],$B106)</f>
        <v>0</v>
      </c>
      <c r="G106">
        <f>SUMIFS(Table1[WL],Table1[Month],G$25,Table1[Customer],$B106)</f>
        <v>0</v>
      </c>
      <c r="H106">
        <f>SUMIFS(Table1[WL],Table1[Month],H$25,Table1[Customer],$B106)</f>
        <v>0</v>
      </c>
      <c r="I106">
        <f>SUMIFS(Table1[WL],Table1[Month],I$25,Table1[Customer],$B106)</f>
        <v>0</v>
      </c>
      <c r="J106">
        <f>SUMIFS(Table1[WL],Table1[Month],J$25,Table1[Customer],$B106)</f>
        <v>0</v>
      </c>
      <c r="K106">
        <f>SUMIFS(Table1[WL],Table1[Month],K$25,Table1[Customer],$B106)</f>
        <v>0</v>
      </c>
      <c r="L106">
        <f>SUMIFS(Table1[WL],Table1[Month],L$25,Table1[Customer],$B106)</f>
        <v>0</v>
      </c>
      <c r="M106">
        <f>SUMIFS(Table1[WL],Table1[Month],M$25,Table1[Customer],$B106)</f>
        <v>0</v>
      </c>
      <c r="N106">
        <f>SUMIFS(Table1[WL],Table1[Month],N$25,Table1[Customer],$B106)</f>
        <v>0</v>
      </c>
    </row>
    <row r="107" spans="2:14" x14ac:dyDescent="0.3">
      <c r="B107" s="3" t="e" cm="1">
        <f t="array" ref="B107">INDEX('WL Records'!$C2:$C1746, MATCH(0, COUNTIF($B$38:B106, 'WL Records'!$C2:$C1746), 0))</f>
        <v>#N/A</v>
      </c>
      <c r="C107">
        <f>SUMIFS(Table1[WL],Table1[Month],C$25,Table1[Customer],$B107)</f>
        <v>0</v>
      </c>
      <c r="D107">
        <f>SUMIFS(Table1[WL],Table1[Month],D$25,Table1[Customer],$B107)</f>
        <v>0</v>
      </c>
      <c r="E107">
        <f>SUMIFS(Table1[WL],Table1[Month],E$25,Table1[Customer],$B107)</f>
        <v>0</v>
      </c>
      <c r="F107">
        <f>SUMIFS(Table1[WL],Table1[Month],F$25,Table1[Customer],$B107)</f>
        <v>0</v>
      </c>
      <c r="G107">
        <f>SUMIFS(Table1[WL],Table1[Month],G$25,Table1[Customer],$B107)</f>
        <v>0</v>
      </c>
      <c r="H107">
        <f>SUMIFS(Table1[WL],Table1[Month],H$25,Table1[Customer],$B107)</f>
        <v>0</v>
      </c>
      <c r="I107">
        <f>SUMIFS(Table1[WL],Table1[Month],I$25,Table1[Customer],$B107)</f>
        <v>0</v>
      </c>
      <c r="J107">
        <f>SUMIFS(Table1[WL],Table1[Month],J$25,Table1[Customer],$B107)</f>
        <v>0</v>
      </c>
      <c r="K107">
        <f>SUMIFS(Table1[WL],Table1[Month],K$25,Table1[Customer],$B107)</f>
        <v>0</v>
      </c>
      <c r="L107">
        <f>SUMIFS(Table1[WL],Table1[Month],L$25,Table1[Customer],$B107)</f>
        <v>0</v>
      </c>
      <c r="M107">
        <f>SUMIFS(Table1[WL],Table1[Month],M$25,Table1[Customer],$B107)</f>
        <v>0</v>
      </c>
      <c r="N107">
        <f>SUMIFS(Table1[WL],Table1[Month],N$25,Table1[Customer],$B107)</f>
        <v>0</v>
      </c>
    </row>
    <row r="108" spans="2:14" x14ac:dyDescent="0.3">
      <c r="B108" s="3" t="e" cm="1">
        <f t="array" ref="B108">INDEX('WL Records'!$C2:$C1747, MATCH(0, COUNTIF($B$38:B107, 'WL Records'!$C2:$C1747), 0))</f>
        <v>#N/A</v>
      </c>
      <c r="C108">
        <f>SUMIFS(Table1[WL],Table1[Month],C$25,Table1[Customer],$B108)</f>
        <v>0</v>
      </c>
      <c r="D108">
        <f>SUMIFS(Table1[WL],Table1[Month],D$25,Table1[Customer],$B108)</f>
        <v>0</v>
      </c>
      <c r="E108">
        <f>SUMIFS(Table1[WL],Table1[Month],E$25,Table1[Customer],$B108)</f>
        <v>0</v>
      </c>
      <c r="F108">
        <f>SUMIFS(Table1[WL],Table1[Month],F$25,Table1[Customer],$B108)</f>
        <v>0</v>
      </c>
      <c r="G108">
        <f>SUMIFS(Table1[WL],Table1[Month],G$25,Table1[Customer],$B108)</f>
        <v>0</v>
      </c>
      <c r="H108">
        <f>SUMIFS(Table1[WL],Table1[Month],H$25,Table1[Customer],$B108)</f>
        <v>0</v>
      </c>
      <c r="I108">
        <f>SUMIFS(Table1[WL],Table1[Month],I$25,Table1[Customer],$B108)</f>
        <v>0</v>
      </c>
      <c r="J108">
        <f>SUMIFS(Table1[WL],Table1[Month],J$25,Table1[Customer],$B108)</f>
        <v>0</v>
      </c>
      <c r="K108">
        <f>SUMIFS(Table1[WL],Table1[Month],K$25,Table1[Customer],$B108)</f>
        <v>0</v>
      </c>
      <c r="L108">
        <f>SUMIFS(Table1[WL],Table1[Month],L$25,Table1[Customer],$B108)</f>
        <v>0</v>
      </c>
      <c r="M108">
        <f>SUMIFS(Table1[WL],Table1[Month],M$25,Table1[Customer],$B108)</f>
        <v>0</v>
      </c>
      <c r="N108">
        <f>SUMIFS(Table1[WL],Table1[Month],N$25,Table1[Customer],$B108)</f>
        <v>0</v>
      </c>
    </row>
    <row r="109" spans="2:14" x14ac:dyDescent="0.3">
      <c r="B109" s="3" t="e" cm="1">
        <f t="array" ref="B109">INDEX('WL Records'!$C2:$C1748, MATCH(0, COUNTIF($B$38:B108, 'WL Records'!$C2:$C1748), 0))</f>
        <v>#N/A</v>
      </c>
      <c r="C109">
        <f>SUMIFS(Table1[WL],Table1[Month],C$25,Table1[Customer],$B109)</f>
        <v>0</v>
      </c>
      <c r="D109">
        <f>SUMIFS(Table1[WL],Table1[Month],D$25,Table1[Customer],$B109)</f>
        <v>0</v>
      </c>
      <c r="E109">
        <f>SUMIFS(Table1[WL],Table1[Month],E$25,Table1[Customer],$B109)</f>
        <v>0</v>
      </c>
      <c r="F109">
        <f>SUMIFS(Table1[WL],Table1[Month],F$25,Table1[Customer],$B109)</f>
        <v>0</v>
      </c>
      <c r="G109">
        <f>SUMIFS(Table1[WL],Table1[Month],G$25,Table1[Customer],$B109)</f>
        <v>0</v>
      </c>
      <c r="H109">
        <f>SUMIFS(Table1[WL],Table1[Month],H$25,Table1[Customer],$B109)</f>
        <v>0</v>
      </c>
      <c r="I109">
        <f>SUMIFS(Table1[WL],Table1[Month],I$25,Table1[Customer],$B109)</f>
        <v>0</v>
      </c>
      <c r="J109">
        <f>SUMIFS(Table1[WL],Table1[Month],J$25,Table1[Customer],$B109)</f>
        <v>0</v>
      </c>
      <c r="K109">
        <f>SUMIFS(Table1[WL],Table1[Month],K$25,Table1[Customer],$B109)</f>
        <v>0</v>
      </c>
      <c r="L109">
        <f>SUMIFS(Table1[WL],Table1[Month],L$25,Table1[Customer],$B109)</f>
        <v>0</v>
      </c>
      <c r="M109">
        <f>SUMIFS(Table1[WL],Table1[Month],M$25,Table1[Customer],$B109)</f>
        <v>0</v>
      </c>
      <c r="N109">
        <f>SUMIFS(Table1[WL],Table1[Month],N$25,Table1[Customer],$B109)</f>
        <v>0</v>
      </c>
    </row>
    <row r="110" spans="2:14" x14ac:dyDescent="0.3">
      <c r="B110" s="3" t="e" cm="1">
        <f t="array" ref="B110">INDEX('WL Records'!$C2:$C1749, MATCH(0, COUNTIF($B$38:B109, 'WL Records'!$C2:$C1749), 0))</f>
        <v>#N/A</v>
      </c>
      <c r="C110">
        <f>SUMIFS(Table1[WL],Table1[Month],C$25,Table1[Customer],$B110)</f>
        <v>0</v>
      </c>
      <c r="D110">
        <f>SUMIFS(Table1[WL],Table1[Month],D$25,Table1[Customer],$B110)</f>
        <v>0</v>
      </c>
      <c r="E110">
        <f>SUMIFS(Table1[WL],Table1[Month],E$25,Table1[Customer],$B110)</f>
        <v>0</v>
      </c>
      <c r="F110">
        <f>SUMIFS(Table1[WL],Table1[Month],F$25,Table1[Customer],$B110)</f>
        <v>0</v>
      </c>
      <c r="G110">
        <f>SUMIFS(Table1[WL],Table1[Month],G$25,Table1[Customer],$B110)</f>
        <v>0</v>
      </c>
      <c r="H110">
        <f>SUMIFS(Table1[WL],Table1[Month],H$25,Table1[Customer],$B110)</f>
        <v>0</v>
      </c>
      <c r="I110">
        <f>SUMIFS(Table1[WL],Table1[Month],I$25,Table1[Customer],$B110)</f>
        <v>0</v>
      </c>
      <c r="J110">
        <f>SUMIFS(Table1[WL],Table1[Month],J$25,Table1[Customer],$B110)</f>
        <v>0</v>
      </c>
      <c r="K110">
        <f>SUMIFS(Table1[WL],Table1[Month],K$25,Table1[Customer],$B110)</f>
        <v>0</v>
      </c>
      <c r="L110">
        <f>SUMIFS(Table1[WL],Table1[Month],L$25,Table1[Customer],$B110)</f>
        <v>0</v>
      </c>
      <c r="M110">
        <f>SUMIFS(Table1[WL],Table1[Month],M$25,Table1[Customer],$B110)</f>
        <v>0</v>
      </c>
      <c r="N110">
        <f>SUMIFS(Table1[WL],Table1[Month],N$25,Table1[Customer],$B110)</f>
        <v>0</v>
      </c>
    </row>
    <row r="111" spans="2:14" x14ac:dyDescent="0.3">
      <c r="B111" s="3" t="e" cm="1">
        <f t="array" ref="B111">INDEX('WL Records'!$C2:$C1750, MATCH(0, COUNTIF($B$38:B110, 'WL Records'!$C2:$C1750), 0))</f>
        <v>#N/A</v>
      </c>
      <c r="C111">
        <f>SUMIFS(Table1[WL],Table1[Month],C$25,Table1[Customer],$B111)</f>
        <v>0</v>
      </c>
      <c r="D111">
        <f>SUMIFS(Table1[WL],Table1[Month],D$25,Table1[Customer],$B111)</f>
        <v>0</v>
      </c>
      <c r="E111">
        <f>SUMIFS(Table1[WL],Table1[Month],E$25,Table1[Customer],$B111)</f>
        <v>0</v>
      </c>
      <c r="F111">
        <f>SUMIFS(Table1[WL],Table1[Month],F$25,Table1[Customer],$B111)</f>
        <v>0</v>
      </c>
      <c r="G111">
        <f>SUMIFS(Table1[WL],Table1[Month],G$25,Table1[Customer],$B111)</f>
        <v>0</v>
      </c>
      <c r="H111">
        <f>SUMIFS(Table1[WL],Table1[Month],H$25,Table1[Customer],$B111)</f>
        <v>0</v>
      </c>
      <c r="I111">
        <f>SUMIFS(Table1[WL],Table1[Month],I$25,Table1[Customer],$B111)</f>
        <v>0</v>
      </c>
      <c r="J111">
        <f>SUMIFS(Table1[WL],Table1[Month],J$25,Table1[Customer],$B111)</f>
        <v>0</v>
      </c>
      <c r="K111">
        <f>SUMIFS(Table1[WL],Table1[Month],K$25,Table1[Customer],$B111)</f>
        <v>0</v>
      </c>
      <c r="L111">
        <f>SUMIFS(Table1[WL],Table1[Month],L$25,Table1[Customer],$B111)</f>
        <v>0</v>
      </c>
      <c r="M111">
        <f>SUMIFS(Table1[WL],Table1[Month],M$25,Table1[Customer],$B111)</f>
        <v>0</v>
      </c>
      <c r="N111">
        <f>SUMIFS(Table1[WL],Table1[Month],N$25,Table1[Customer],$B111)</f>
        <v>0</v>
      </c>
    </row>
    <row r="112" spans="2:14" x14ac:dyDescent="0.3">
      <c r="B112" s="3" t="e" cm="1">
        <f t="array" ref="B112">INDEX('WL Records'!$C2:$C1751, MATCH(0, COUNTIF($B$38:B111, 'WL Records'!$C2:$C1751), 0))</f>
        <v>#N/A</v>
      </c>
      <c r="C112">
        <f>SUMIFS(Table1[WL],Table1[Month],C$25,Table1[Customer],$B112)</f>
        <v>0</v>
      </c>
      <c r="D112">
        <f>SUMIFS(Table1[WL],Table1[Month],D$25,Table1[Customer],$B112)</f>
        <v>0</v>
      </c>
      <c r="E112">
        <f>SUMIFS(Table1[WL],Table1[Month],E$25,Table1[Customer],$B112)</f>
        <v>0</v>
      </c>
      <c r="F112">
        <f>SUMIFS(Table1[WL],Table1[Month],F$25,Table1[Customer],$B112)</f>
        <v>0</v>
      </c>
      <c r="G112">
        <f>SUMIFS(Table1[WL],Table1[Month],G$25,Table1[Customer],$B112)</f>
        <v>0</v>
      </c>
      <c r="H112">
        <f>SUMIFS(Table1[WL],Table1[Month],H$25,Table1[Customer],$B112)</f>
        <v>0</v>
      </c>
      <c r="I112">
        <f>SUMIFS(Table1[WL],Table1[Month],I$25,Table1[Customer],$B112)</f>
        <v>0</v>
      </c>
      <c r="J112">
        <f>SUMIFS(Table1[WL],Table1[Month],J$25,Table1[Customer],$B112)</f>
        <v>0</v>
      </c>
      <c r="K112">
        <f>SUMIFS(Table1[WL],Table1[Month],K$25,Table1[Customer],$B112)</f>
        <v>0</v>
      </c>
      <c r="L112">
        <f>SUMIFS(Table1[WL],Table1[Month],L$25,Table1[Customer],$B112)</f>
        <v>0</v>
      </c>
      <c r="M112">
        <f>SUMIFS(Table1[WL],Table1[Month],M$25,Table1[Customer],$B112)</f>
        <v>0</v>
      </c>
      <c r="N112">
        <f>SUMIFS(Table1[WL],Table1[Month],N$25,Table1[Customer],$B112)</f>
        <v>0</v>
      </c>
    </row>
    <row r="113" spans="2:14" x14ac:dyDescent="0.3">
      <c r="B113" s="3" t="e" cm="1">
        <f t="array" ref="B113">INDEX('WL Records'!$C2:$C1752, MATCH(0, COUNTIF($B$38:B112, 'WL Records'!$C2:$C1752), 0))</f>
        <v>#N/A</v>
      </c>
      <c r="C113">
        <f>SUMIFS(Table1[WL],Table1[Month],C$25,Table1[Customer],$B113)</f>
        <v>0</v>
      </c>
      <c r="D113">
        <f>SUMIFS(Table1[WL],Table1[Month],D$25,Table1[Customer],$B113)</f>
        <v>0</v>
      </c>
      <c r="E113">
        <f>SUMIFS(Table1[WL],Table1[Month],E$25,Table1[Customer],$B113)</f>
        <v>0</v>
      </c>
      <c r="F113">
        <f>SUMIFS(Table1[WL],Table1[Month],F$25,Table1[Customer],$B113)</f>
        <v>0</v>
      </c>
      <c r="G113">
        <f>SUMIFS(Table1[WL],Table1[Month],G$25,Table1[Customer],$B113)</f>
        <v>0</v>
      </c>
      <c r="H113">
        <f>SUMIFS(Table1[WL],Table1[Month],H$25,Table1[Customer],$B113)</f>
        <v>0</v>
      </c>
      <c r="I113">
        <f>SUMIFS(Table1[WL],Table1[Month],I$25,Table1[Customer],$B113)</f>
        <v>0</v>
      </c>
      <c r="J113">
        <f>SUMIFS(Table1[WL],Table1[Month],J$25,Table1[Customer],$B113)</f>
        <v>0</v>
      </c>
      <c r="K113">
        <f>SUMIFS(Table1[WL],Table1[Month],K$25,Table1[Customer],$B113)</f>
        <v>0</v>
      </c>
      <c r="L113">
        <f>SUMIFS(Table1[WL],Table1[Month],L$25,Table1[Customer],$B113)</f>
        <v>0</v>
      </c>
      <c r="M113">
        <f>SUMIFS(Table1[WL],Table1[Month],M$25,Table1[Customer],$B113)</f>
        <v>0</v>
      </c>
      <c r="N113">
        <f>SUMIFS(Table1[WL],Table1[Month],N$25,Table1[Customer],$B113)</f>
        <v>0</v>
      </c>
    </row>
    <row r="114" spans="2:14" x14ac:dyDescent="0.3">
      <c r="B114" s="3" t="e" cm="1">
        <f t="array" ref="B114">INDEX('WL Records'!$C2:$C1753, MATCH(0, COUNTIF($B$38:B113, 'WL Records'!$C2:$C1753), 0))</f>
        <v>#N/A</v>
      </c>
      <c r="C114">
        <f>SUMIFS(Table1[WL],Table1[Month],C$25,Table1[Customer],$B114)</f>
        <v>0</v>
      </c>
      <c r="D114">
        <f>SUMIFS(Table1[WL],Table1[Month],D$25,Table1[Customer],$B114)</f>
        <v>0</v>
      </c>
      <c r="E114">
        <f>SUMIFS(Table1[WL],Table1[Month],E$25,Table1[Customer],$B114)</f>
        <v>0</v>
      </c>
      <c r="F114">
        <f>SUMIFS(Table1[WL],Table1[Month],F$25,Table1[Customer],$B114)</f>
        <v>0</v>
      </c>
      <c r="G114">
        <f>SUMIFS(Table1[WL],Table1[Month],G$25,Table1[Customer],$B114)</f>
        <v>0</v>
      </c>
      <c r="H114">
        <f>SUMIFS(Table1[WL],Table1[Month],H$25,Table1[Customer],$B114)</f>
        <v>0</v>
      </c>
      <c r="I114">
        <f>SUMIFS(Table1[WL],Table1[Month],I$25,Table1[Customer],$B114)</f>
        <v>0</v>
      </c>
      <c r="J114">
        <f>SUMIFS(Table1[WL],Table1[Month],J$25,Table1[Customer],$B114)</f>
        <v>0</v>
      </c>
      <c r="K114">
        <f>SUMIFS(Table1[WL],Table1[Month],K$25,Table1[Customer],$B114)</f>
        <v>0</v>
      </c>
      <c r="L114">
        <f>SUMIFS(Table1[WL],Table1[Month],L$25,Table1[Customer],$B114)</f>
        <v>0</v>
      </c>
      <c r="M114">
        <f>SUMIFS(Table1[WL],Table1[Month],M$25,Table1[Customer],$B114)</f>
        <v>0</v>
      </c>
      <c r="N114">
        <f>SUMIFS(Table1[WL],Table1[Month],N$25,Table1[Customer],$B114)</f>
        <v>0</v>
      </c>
    </row>
    <row r="115" spans="2:14" x14ac:dyDescent="0.3">
      <c r="B115" s="3" t="e" cm="1">
        <f t="array" ref="B115">INDEX('WL Records'!$C2:$C1754, MATCH(0, COUNTIF($B$38:B114, 'WL Records'!$C2:$C1754), 0))</f>
        <v>#N/A</v>
      </c>
      <c r="C115">
        <f>SUMIFS(Table1[WL],Table1[Month],C$25,Table1[Customer],$B115)</f>
        <v>0</v>
      </c>
      <c r="D115">
        <f>SUMIFS(Table1[WL],Table1[Month],D$25,Table1[Customer],$B115)</f>
        <v>0</v>
      </c>
      <c r="E115">
        <f>SUMIFS(Table1[WL],Table1[Month],E$25,Table1[Customer],$B115)</f>
        <v>0</v>
      </c>
      <c r="F115">
        <f>SUMIFS(Table1[WL],Table1[Month],F$25,Table1[Customer],$B115)</f>
        <v>0</v>
      </c>
      <c r="G115">
        <f>SUMIFS(Table1[WL],Table1[Month],G$25,Table1[Customer],$B115)</f>
        <v>0</v>
      </c>
      <c r="H115">
        <f>SUMIFS(Table1[WL],Table1[Month],H$25,Table1[Customer],$B115)</f>
        <v>0</v>
      </c>
      <c r="I115">
        <f>SUMIFS(Table1[WL],Table1[Month],I$25,Table1[Customer],$B115)</f>
        <v>0</v>
      </c>
      <c r="J115">
        <f>SUMIFS(Table1[WL],Table1[Month],J$25,Table1[Customer],$B115)</f>
        <v>0</v>
      </c>
      <c r="K115">
        <f>SUMIFS(Table1[WL],Table1[Month],K$25,Table1[Customer],$B115)</f>
        <v>0</v>
      </c>
      <c r="L115">
        <f>SUMIFS(Table1[WL],Table1[Month],L$25,Table1[Customer],$B115)</f>
        <v>0</v>
      </c>
      <c r="M115">
        <f>SUMIFS(Table1[WL],Table1[Month],M$25,Table1[Customer],$B115)</f>
        <v>0</v>
      </c>
      <c r="N115">
        <f>SUMIFS(Table1[WL],Table1[Month],N$25,Table1[Customer],$B115)</f>
        <v>0</v>
      </c>
    </row>
    <row r="116" spans="2:14" x14ac:dyDescent="0.3">
      <c r="B116" s="3" t="e" cm="1">
        <f t="array" ref="B116">INDEX('WL Records'!$C2:$C1755, MATCH(0, COUNTIF($B$38:B115, 'WL Records'!$C2:$C1755), 0))</f>
        <v>#N/A</v>
      </c>
      <c r="C116">
        <f>SUMIFS(Table1[WL],Table1[Month],C$25,Table1[Customer],$B116)</f>
        <v>0</v>
      </c>
      <c r="D116">
        <f>SUMIFS(Table1[WL],Table1[Month],D$25,Table1[Customer],$B116)</f>
        <v>0</v>
      </c>
      <c r="E116">
        <f>SUMIFS(Table1[WL],Table1[Month],E$25,Table1[Customer],$B116)</f>
        <v>0</v>
      </c>
      <c r="F116">
        <f>SUMIFS(Table1[WL],Table1[Month],F$25,Table1[Customer],$B116)</f>
        <v>0</v>
      </c>
      <c r="G116">
        <f>SUMIFS(Table1[WL],Table1[Month],G$25,Table1[Customer],$B116)</f>
        <v>0</v>
      </c>
      <c r="H116">
        <f>SUMIFS(Table1[WL],Table1[Month],H$25,Table1[Customer],$B116)</f>
        <v>0</v>
      </c>
      <c r="I116">
        <f>SUMIFS(Table1[WL],Table1[Month],I$25,Table1[Customer],$B116)</f>
        <v>0</v>
      </c>
      <c r="J116">
        <f>SUMIFS(Table1[WL],Table1[Month],J$25,Table1[Customer],$B116)</f>
        <v>0</v>
      </c>
      <c r="K116">
        <f>SUMIFS(Table1[WL],Table1[Month],K$25,Table1[Customer],$B116)</f>
        <v>0</v>
      </c>
      <c r="L116">
        <f>SUMIFS(Table1[WL],Table1[Month],L$25,Table1[Customer],$B116)</f>
        <v>0</v>
      </c>
      <c r="M116">
        <f>SUMIFS(Table1[WL],Table1[Month],M$25,Table1[Customer],$B116)</f>
        <v>0</v>
      </c>
      <c r="N116">
        <f>SUMIFS(Table1[WL],Table1[Month],N$25,Table1[Customer],$B116)</f>
        <v>0</v>
      </c>
    </row>
    <row r="117" spans="2:14" x14ac:dyDescent="0.3">
      <c r="B117" s="3" t="e" cm="1">
        <f t="array" ref="B117">INDEX('WL Records'!$C2:$C1756, MATCH(0, COUNTIF($B$38:B116, 'WL Records'!$C2:$C1756), 0))</f>
        <v>#N/A</v>
      </c>
      <c r="C117">
        <f>SUMIFS(Table1[WL],Table1[Month],C$25,Table1[Customer],$B117)</f>
        <v>0</v>
      </c>
      <c r="D117">
        <f>SUMIFS(Table1[WL],Table1[Month],D$25,Table1[Customer],$B117)</f>
        <v>0</v>
      </c>
      <c r="E117">
        <f>SUMIFS(Table1[WL],Table1[Month],E$25,Table1[Customer],$B117)</f>
        <v>0</v>
      </c>
      <c r="F117">
        <f>SUMIFS(Table1[WL],Table1[Month],F$25,Table1[Customer],$B117)</f>
        <v>0</v>
      </c>
      <c r="G117">
        <f>SUMIFS(Table1[WL],Table1[Month],G$25,Table1[Customer],$B117)</f>
        <v>0</v>
      </c>
      <c r="H117">
        <f>SUMIFS(Table1[WL],Table1[Month],H$25,Table1[Customer],$B117)</f>
        <v>0</v>
      </c>
      <c r="I117">
        <f>SUMIFS(Table1[WL],Table1[Month],I$25,Table1[Customer],$B117)</f>
        <v>0</v>
      </c>
      <c r="J117">
        <f>SUMIFS(Table1[WL],Table1[Month],J$25,Table1[Customer],$B117)</f>
        <v>0</v>
      </c>
      <c r="K117">
        <f>SUMIFS(Table1[WL],Table1[Month],K$25,Table1[Customer],$B117)</f>
        <v>0</v>
      </c>
      <c r="L117">
        <f>SUMIFS(Table1[WL],Table1[Month],L$25,Table1[Customer],$B117)</f>
        <v>0</v>
      </c>
      <c r="M117">
        <f>SUMIFS(Table1[WL],Table1[Month],M$25,Table1[Customer],$B117)</f>
        <v>0</v>
      </c>
      <c r="N117">
        <f>SUMIFS(Table1[WL],Table1[Month],N$25,Table1[Customer],$B117)</f>
        <v>0</v>
      </c>
    </row>
    <row r="118" spans="2:14" x14ac:dyDescent="0.3">
      <c r="B118" s="3" t="e" cm="1">
        <f t="array" ref="B118">INDEX('WL Records'!$C2:$C1757, MATCH(0, COUNTIF($B$38:B117, 'WL Records'!$C2:$C1757), 0))</f>
        <v>#N/A</v>
      </c>
      <c r="C118">
        <f>SUMIFS(Table1[WL],Table1[Month],C$25,Table1[Customer],$B118)</f>
        <v>0</v>
      </c>
      <c r="D118">
        <f>SUMIFS(Table1[WL],Table1[Month],D$25,Table1[Customer],$B118)</f>
        <v>0</v>
      </c>
      <c r="E118">
        <f>SUMIFS(Table1[WL],Table1[Month],E$25,Table1[Customer],$B118)</f>
        <v>0</v>
      </c>
      <c r="F118">
        <f>SUMIFS(Table1[WL],Table1[Month],F$25,Table1[Customer],$B118)</f>
        <v>0</v>
      </c>
      <c r="G118">
        <f>SUMIFS(Table1[WL],Table1[Month],G$25,Table1[Customer],$B118)</f>
        <v>0</v>
      </c>
      <c r="H118">
        <f>SUMIFS(Table1[WL],Table1[Month],H$25,Table1[Customer],$B118)</f>
        <v>0</v>
      </c>
      <c r="I118">
        <f>SUMIFS(Table1[WL],Table1[Month],I$25,Table1[Customer],$B118)</f>
        <v>0</v>
      </c>
      <c r="J118">
        <f>SUMIFS(Table1[WL],Table1[Month],J$25,Table1[Customer],$B118)</f>
        <v>0</v>
      </c>
      <c r="K118">
        <f>SUMIFS(Table1[WL],Table1[Month],K$25,Table1[Customer],$B118)</f>
        <v>0</v>
      </c>
      <c r="L118">
        <f>SUMIFS(Table1[WL],Table1[Month],L$25,Table1[Customer],$B118)</f>
        <v>0</v>
      </c>
      <c r="M118">
        <f>SUMIFS(Table1[WL],Table1[Month],M$25,Table1[Customer],$B118)</f>
        <v>0</v>
      </c>
      <c r="N118">
        <f>SUMIFS(Table1[WL],Table1[Month],N$25,Table1[Customer],$B118)</f>
        <v>0</v>
      </c>
    </row>
    <row r="119" spans="2:14" x14ac:dyDescent="0.3">
      <c r="B119" s="3" t="e" cm="1">
        <f t="array" ref="B119">INDEX('WL Records'!$C2:$C1758, MATCH(0, COUNTIF($B$38:B118, 'WL Records'!$C2:$C1758), 0))</f>
        <v>#N/A</v>
      </c>
      <c r="C119">
        <f>SUMIFS(Table1[WL],Table1[Month],C$25,Table1[Customer],$B119)</f>
        <v>0</v>
      </c>
      <c r="D119">
        <f>SUMIFS(Table1[WL],Table1[Month],D$25,Table1[Customer],$B119)</f>
        <v>0</v>
      </c>
      <c r="E119">
        <f>SUMIFS(Table1[WL],Table1[Month],E$25,Table1[Customer],$B119)</f>
        <v>0</v>
      </c>
      <c r="F119">
        <f>SUMIFS(Table1[WL],Table1[Month],F$25,Table1[Customer],$B119)</f>
        <v>0</v>
      </c>
      <c r="G119">
        <f>SUMIFS(Table1[WL],Table1[Month],G$25,Table1[Customer],$B119)</f>
        <v>0</v>
      </c>
      <c r="H119">
        <f>SUMIFS(Table1[WL],Table1[Month],H$25,Table1[Customer],$B119)</f>
        <v>0</v>
      </c>
      <c r="I119">
        <f>SUMIFS(Table1[WL],Table1[Month],I$25,Table1[Customer],$B119)</f>
        <v>0</v>
      </c>
      <c r="J119">
        <f>SUMIFS(Table1[WL],Table1[Month],J$25,Table1[Customer],$B119)</f>
        <v>0</v>
      </c>
      <c r="K119">
        <f>SUMIFS(Table1[WL],Table1[Month],K$25,Table1[Customer],$B119)</f>
        <v>0</v>
      </c>
      <c r="L119">
        <f>SUMIFS(Table1[WL],Table1[Month],L$25,Table1[Customer],$B119)</f>
        <v>0</v>
      </c>
      <c r="M119">
        <f>SUMIFS(Table1[WL],Table1[Month],M$25,Table1[Customer],$B119)</f>
        <v>0</v>
      </c>
      <c r="N119">
        <f>SUMIFS(Table1[WL],Table1[Month],N$25,Table1[Customer],$B119)</f>
        <v>0</v>
      </c>
    </row>
    <row r="120" spans="2:14" x14ac:dyDescent="0.3">
      <c r="B120" s="3" t="e" cm="1">
        <f t="array" ref="B120">INDEX('WL Records'!$C2:$C1759, MATCH(0, COUNTIF($B$38:B119, 'WL Records'!$C2:$C1759), 0))</f>
        <v>#N/A</v>
      </c>
      <c r="C120">
        <f>SUMIFS(Table1[WL],Table1[Month],C$25,Table1[Customer],$B120)</f>
        <v>0</v>
      </c>
      <c r="D120">
        <f>SUMIFS(Table1[WL],Table1[Month],D$25,Table1[Customer],$B120)</f>
        <v>0</v>
      </c>
      <c r="E120">
        <f>SUMIFS(Table1[WL],Table1[Month],E$25,Table1[Customer],$B120)</f>
        <v>0</v>
      </c>
      <c r="F120">
        <f>SUMIFS(Table1[WL],Table1[Month],F$25,Table1[Customer],$B120)</f>
        <v>0</v>
      </c>
      <c r="G120">
        <f>SUMIFS(Table1[WL],Table1[Month],G$25,Table1[Customer],$B120)</f>
        <v>0</v>
      </c>
      <c r="H120">
        <f>SUMIFS(Table1[WL],Table1[Month],H$25,Table1[Customer],$B120)</f>
        <v>0</v>
      </c>
      <c r="I120">
        <f>SUMIFS(Table1[WL],Table1[Month],I$25,Table1[Customer],$B120)</f>
        <v>0</v>
      </c>
      <c r="J120">
        <f>SUMIFS(Table1[WL],Table1[Month],J$25,Table1[Customer],$B120)</f>
        <v>0</v>
      </c>
      <c r="K120">
        <f>SUMIFS(Table1[WL],Table1[Month],K$25,Table1[Customer],$B120)</f>
        <v>0</v>
      </c>
      <c r="L120">
        <f>SUMIFS(Table1[WL],Table1[Month],L$25,Table1[Customer],$B120)</f>
        <v>0</v>
      </c>
      <c r="M120">
        <f>SUMIFS(Table1[WL],Table1[Month],M$25,Table1[Customer],$B120)</f>
        <v>0</v>
      </c>
      <c r="N120">
        <f>SUMIFS(Table1[WL],Table1[Month],N$25,Table1[Customer],$B120)</f>
        <v>0</v>
      </c>
    </row>
    <row r="121" spans="2:14" x14ac:dyDescent="0.3">
      <c r="B121" s="3" t="e" cm="1">
        <f t="array" ref="B121">INDEX('WL Records'!$C2:$C1760, MATCH(0, COUNTIF($B$38:B120, 'WL Records'!$C2:$C1760), 0))</f>
        <v>#N/A</v>
      </c>
      <c r="C121">
        <f>SUMIFS(Table1[WL],Table1[Month],C$25,Table1[Customer],$B121)</f>
        <v>0</v>
      </c>
      <c r="D121">
        <f>SUMIFS(Table1[WL],Table1[Month],D$25,Table1[Customer],$B121)</f>
        <v>0</v>
      </c>
      <c r="E121">
        <f>SUMIFS(Table1[WL],Table1[Month],E$25,Table1[Customer],$B121)</f>
        <v>0</v>
      </c>
      <c r="F121">
        <f>SUMIFS(Table1[WL],Table1[Month],F$25,Table1[Customer],$B121)</f>
        <v>0</v>
      </c>
      <c r="G121">
        <f>SUMIFS(Table1[WL],Table1[Month],G$25,Table1[Customer],$B121)</f>
        <v>0</v>
      </c>
      <c r="H121">
        <f>SUMIFS(Table1[WL],Table1[Month],H$25,Table1[Customer],$B121)</f>
        <v>0</v>
      </c>
      <c r="I121">
        <f>SUMIFS(Table1[WL],Table1[Month],I$25,Table1[Customer],$B121)</f>
        <v>0</v>
      </c>
      <c r="J121">
        <f>SUMIFS(Table1[WL],Table1[Month],J$25,Table1[Customer],$B121)</f>
        <v>0</v>
      </c>
      <c r="K121">
        <f>SUMIFS(Table1[WL],Table1[Month],K$25,Table1[Customer],$B121)</f>
        <v>0</v>
      </c>
      <c r="L121">
        <f>SUMIFS(Table1[WL],Table1[Month],L$25,Table1[Customer],$B121)</f>
        <v>0</v>
      </c>
      <c r="M121">
        <f>SUMIFS(Table1[WL],Table1[Month],M$25,Table1[Customer],$B121)</f>
        <v>0</v>
      </c>
      <c r="N121">
        <f>SUMIFS(Table1[WL],Table1[Month],N$25,Table1[Customer],$B121)</f>
        <v>0</v>
      </c>
    </row>
    <row r="122" spans="2:14" x14ac:dyDescent="0.3">
      <c r="B122" s="3" t="e" cm="1">
        <f t="array" ref="B122">INDEX('WL Records'!$C2:$C1761, MATCH(0, COUNTIF($B$38:B121, 'WL Records'!$C2:$C1761), 0))</f>
        <v>#N/A</v>
      </c>
      <c r="C122">
        <f>SUMIFS(Table1[WL],Table1[Month],C$25,Table1[Customer],$B122)</f>
        <v>0</v>
      </c>
      <c r="D122">
        <f>SUMIFS(Table1[WL],Table1[Month],D$25,Table1[Customer],$B122)</f>
        <v>0</v>
      </c>
      <c r="E122">
        <f>SUMIFS(Table1[WL],Table1[Month],E$25,Table1[Customer],$B122)</f>
        <v>0</v>
      </c>
      <c r="F122">
        <f>SUMIFS(Table1[WL],Table1[Month],F$25,Table1[Customer],$B122)</f>
        <v>0</v>
      </c>
      <c r="G122">
        <f>SUMIFS(Table1[WL],Table1[Month],G$25,Table1[Customer],$B122)</f>
        <v>0</v>
      </c>
      <c r="H122">
        <f>SUMIFS(Table1[WL],Table1[Month],H$25,Table1[Customer],$B122)</f>
        <v>0</v>
      </c>
      <c r="I122">
        <f>SUMIFS(Table1[WL],Table1[Month],I$25,Table1[Customer],$B122)</f>
        <v>0</v>
      </c>
      <c r="J122">
        <f>SUMIFS(Table1[WL],Table1[Month],J$25,Table1[Customer],$B122)</f>
        <v>0</v>
      </c>
      <c r="K122">
        <f>SUMIFS(Table1[WL],Table1[Month],K$25,Table1[Customer],$B122)</f>
        <v>0</v>
      </c>
      <c r="L122">
        <f>SUMIFS(Table1[WL],Table1[Month],L$25,Table1[Customer],$B122)</f>
        <v>0</v>
      </c>
      <c r="M122">
        <f>SUMIFS(Table1[WL],Table1[Month],M$25,Table1[Customer],$B122)</f>
        <v>0</v>
      </c>
      <c r="N122">
        <f>SUMIFS(Table1[WL],Table1[Month],N$25,Table1[Customer],$B122)</f>
        <v>0</v>
      </c>
    </row>
    <row r="123" spans="2:14" x14ac:dyDescent="0.3">
      <c r="B123" s="3" t="e" cm="1">
        <f t="array" ref="B123">INDEX('WL Records'!$C2:$C1762, MATCH(0, COUNTIF($B$38:B122, 'WL Records'!$C2:$C1762), 0))</f>
        <v>#N/A</v>
      </c>
      <c r="C123">
        <f>SUMIFS(Table1[WL],Table1[Month],C$25,Table1[Customer],$B123)</f>
        <v>0</v>
      </c>
      <c r="D123">
        <f>SUMIFS(Table1[WL],Table1[Month],D$25,Table1[Customer],$B123)</f>
        <v>0</v>
      </c>
      <c r="E123">
        <f>SUMIFS(Table1[WL],Table1[Month],E$25,Table1[Customer],$B123)</f>
        <v>0</v>
      </c>
      <c r="F123">
        <f>SUMIFS(Table1[WL],Table1[Month],F$25,Table1[Customer],$B123)</f>
        <v>0</v>
      </c>
      <c r="G123">
        <f>SUMIFS(Table1[WL],Table1[Month],G$25,Table1[Customer],$B123)</f>
        <v>0</v>
      </c>
      <c r="H123">
        <f>SUMIFS(Table1[WL],Table1[Month],H$25,Table1[Customer],$B123)</f>
        <v>0</v>
      </c>
      <c r="I123">
        <f>SUMIFS(Table1[WL],Table1[Month],I$25,Table1[Customer],$B123)</f>
        <v>0</v>
      </c>
      <c r="J123">
        <f>SUMIFS(Table1[WL],Table1[Month],J$25,Table1[Customer],$B123)</f>
        <v>0</v>
      </c>
      <c r="K123">
        <f>SUMIFS(Table1[WL],Table1[Month],K$25,Table1[Customer],$B123)</f>
        <v>0</v>
      </c>
      <c r="L123">
        <f>SUMIFS(Table1[WL],Table1[Month],L$25,Table1[Customer],$B123)</f>
        <v>0</v>
      </c>
      <c r="M123">
        <f>SUMIFS(Table1[WL],Table1[Month],M$25,Table1[Customer],$B123)</f>
        <v>0</v>
      </c>
      <c r="N123">
        <f>SUMIFS(Table1[WL],Table1[Month],N$25,Table1[Customer],$B123)</f>
        <v>0</v>
      </c>
    </row>
    <row r="124" spans="2:14" x14ac:dyDescent="0.3">
      <c r="B124" s="3" t="e" cm="1">
        <f t="array" ref="B124">INDEX('WL Records'!$C2:$C1763, MATCH(0, COUNTIF($B$38:B123, 'WL Records'!$C2:$C1763), 0))</f>
        <v>#N/A</v>
      </c>
      <c r="C124">
        <f>SUMIFS(Table1[WL],Table1[Month],C$25,Table1[Customer],$B124)</f>
        <v>0</v>
      </c>
      <c r="D124">
        <f>SUMIFS(Table1[WL],Table1[Month],D$25,Table1[Customer],$B124)</f>
        <v>0</v>
      </c>
      <c r="E124">
        <f>SUMIFS(Table1[WL],Table1[Month],E$25,Table1[Customer],$B124)</f>
        <v>0</v>
      </c>
      <c r="F124">
        <f>SUMIFS(Table1[WL],Table1[Month],F$25,Table1[Customer],$B124)</f>
        <v>0</v>
      </c>
      <c r="G124">
        <f>SUMIFS(Table1[WL],Table1[Month],G$25,Table1[Customer],$B124)</f>
        <v>0</v>
      </c>
      <c r="H124">
        <f>SUMIFS(Table1[WL],Table1[Month],H$25,Table1[Customer],$B124)</f>
        <v>0</v>
      </c>
      <c r="I124">
        <f>SUMIFS(Table1[WL],Table1[Month],I$25,Table1[Customer],$B124)</f>
        <v>0</v>
      </c>
      <c r="J124">
        <f>SUMIFS(Table1[WL],Table1[Month],J$25,Table1[Customer],$B124)</f>
        <v>0</v>
      </c>
      <c r="K124">
        <f>SUMIFS(Table1[WL],Table1[Month],K$25,Table1[Customer],$B124)</f>
        <v>0</v>
      </c>
      <c r="L124">
        <f>SUMIFS(Table1[WL],Table1[Month],L$25,Table1[Customer],$B124)</f>
        <v>0</v>
      </c>
      <c r="M124">
        <f>SUMIFS(Table1[WL],Table1[Month],M$25,Table1[Customer],$B124)</f>
        <v>0</v>
      </c>
      <c r="N124">
        <f>SUMIFS(Table1[WL],Table1[Month],N$25,Table1[Customer],$B124)</f>
        <v>0</v>
      </c>
    </row>
    <row r="125" spans="2:14" x14ac:dyDescent="0.3">
      <c r="B125" s="3" t="e" cm="1">
        <f t="array" ref="B125">INDEX('WL Records'!$C2:$C1764, MATCH(0, COUNTIF($B$38:B124, 'WL Records'!$C2:$C1764), 0))</f>
        <v>#N/A</v>
      </c>
      <c r="C125">
        <f>SUMIFS(Table1[WL],Table1[Month],C$25,Table1[Customer],$B125)</f>
        <v>0</v>
      </c>
      <c r="D125">
        <f>SUMIFS(Table1[WL],Table1[Month],D$25,Table1[Customer],$B125)</f>
        <v>0</v>
      </c>
      <c r="E125">
        <f>SUMIFS(Table1[WL],Table1[Month],E$25,Table1[Customer],$B125)</f>
        <v>0</v>
      </c>
      <c r="F125">
        <f>SUMIFS(Table1[WL],Table1[Month],F$25,Table1[Customer],$B125)</f>
        <v>0</v>
      </c>
      <c r="G125">
        <f>SUMIFS(Table1[WL],Table1[Month],G$25,Table1[Customer],$B125)</f>
        <v>0</v>
      </c>
      <c r="H125">
        <f>SUMIFS(Table1[WL],Table1[Month],H$25,Table1[Customer],$B125)</f>
        <v>0</v>
      </c>
      <c r="I125">
        <f>SUMIFS(Table1[WL],Table1[Month],I$25,Table1[Customer],$B125)</f>
        <v>0</v>
      </c>
      <c r="J125">
        <f>SUMIFS(Table1[WL],Table1[Month],J$25,Table1[Customer],$B125)</f>
        <v>0</v>
      </c>
      <c r="K125">
        <f>SUMIFS(Table1[WL],Table1[Month],K$25,Table1[Customer],$B125)</f>
        <v>0</v>
      </c>
      <c r="L125">
        <f>SUMIFS(Table1[WL],Table1[Month],L$25,Table1[Customer],$B125)</f>
        <v>0</v>
      </c>
      <c r="M125">
        <f>SUMIFS(Table1[WL],Table1[Month],M$25,Table1[Customer],$B125)</f>
        <v>0</v>
      </c>
      <c r="N125">
        <f>SUMIFS(Table1[WL],Table1[Month],N$25,Table1[Customer],$B125)</f>
        <v>0</v>
      </c>
    </row>
    <row r="126" spans="2:14" x14ac:dyDescent="0.3">
      <c r="B126" s="3" t="e" cm="1">
        <f t="array" ref="B126">INDEX('WL Records'!$C2:$C1765, MATCH(0, COUNTIF($B$38:B125, 'WL Records'!$C2:$C1765), 0))</f>
        <v>#N/A</v>
      </c>
      <c r="C126">
        <f>SUMIFS(Table1[WL],Table1[Month],C$25,Table1[Customer],$B126)</f>
        <v>0</v>
      </c>
      <c r="D126">
        <f>SUMIFS(Table1[WL],Table1[Month],D$25,Table1[Customer],$B126)</f>
        <v>0</v>
      </c>
      <c r="E126">
        <f>SUMIFS(Table1[WL],Table1[Month],E$25,Table1[Customer],$B126)</f>
        <v>0</v>
      </c>
      <c r="F126">
        <f>SUMIFS(Table1[WL],Table1[Month],F$25,Table1[Customer],$B126)</f>
        <v>0</v>
      </c>
      <c r="G126">
        <f>SUMIFS(Table1[WL],Table1[Month],G$25,Table1[Customer],$B126)</f>
        <v>0</v>
      </c>
      <c r="H126">
        <f>SUMIFS(Table1[WL],Table1[Month],H$25,Table1[Customer],$B126)</f>
        <v>0</v>
      </c>
      <c r="I126">
        <f>SUMIFS(Table1[WL],Table1[Month],I$25,Table1[Customer],$B126)</f>
        <v>0</v>
      </c>
      <c r="J126">
        <f>SUMIFS(Table1[WL],Table1[Month],J$25,Table1[Customer],$B126)</f>
        <v>0</v>
      </c>
      <c r="K126">
        <f>SUMIFS(Table1[WL],Table1[Month],K$25,Table1[Customer],$B126)</f>
        <v>0</v>
      </c>
      <c r="L126">
        <f>SUMIFS(Table1[WL],Table1[Month],L$25,Table1[Customer],$B126)</f>
        <v>0</v>
      </c>
      <c r="M126">
        <f>SUMIFS(Table1[WL],Table1[Month],M$25,Table1[Customer],$B126)</f>
        <v>0</v>
      </c>
      <c r="N126">
        <f>SUMIFS(Table1[WL],Table1[Month],N$25,Table1[Customer],$B126)</f>
        <v>0</v>
      </c>
    </row>
    <row r="127" spans="2:14" x14ac:dyDescent="0.3">
      <c r="B127" s="3" t="e" cm="1">
        <f t="array" ref="B127">INDEX('WL Records'!$C2:$C1766, MATCH(0, COUNTIF($B$38:B126, 'WL Records'!$C2:$C1766), 0))</f>
        <v>#N/A</v>
      </c>
      <c r="C127">
        <f>SUMIFS(Table1[WL],Table1[Month],C$25,Table1[Customer],$B127)</f>
        <v>0</v>
      </c>
      <c r="D127">
        <f>SUMIFS(Table1[WL],Table1[Month],D$25,Table1[Customer],$B127)</f>
        <v>0</v>
      </c>
      <c r="E127">
        <f>SUMIFS(Table1[WL],Table1[Month],E$25,Table1[Customer],$B127)</f>
        <v>0</v>
      </c>
      <c r="F127">
        <f>SUMIFS(Table1[WL],Table1[Month],F$25,Table1[Customer],$B127)</f>
        <v>0</v>
      </c>
      <c r="G127">
        <f>SUMIFS(Table1[WL],Table1[Month],G$25,Table1[Customer],$B127)</f>
        <v>0</v>
      </c>
      <c r="H127">
        <f>SUMIFS(Table1[WL],Table1[Month],H$25,Table1[Customer],$B127)</f>
        <v>0</v>
      </c>
      <c r="I127">
        <f>SUMIFS(Table1[WL],Table1[Month],I$25,Table1[Customer],$B127)</f>
        <v>0</v>
      </c>
      <c r="J127">
        <f>SUMIFS(Table1[WL],Table1[Month],J$25,Table1[Customer],$B127)</f>
        <v>0</v>
      </c>
      <c r="K127">
        <f>SUMIFS(Table1[WL],Table1[Month],K$25,Table1[Customer],$B127)</f>
        <v>0</v>
      </c>
      <c r="L127">
        <f>SUMIFS(Table1[WL],Table1[Month],L$25,Table1[Customer],$B127)</f>
        <v>0</v>
      </c>
      <c r="M127">
        <f>SUMIFS(Table1[WL],Table1[Month],M$25,Table1[Customer],$B127)</f>
        <v>0</v>
      </c>
      <c r="N127">
        <f>SUMIFS(Table1[WL],Table1[Month],N$25,Table1[Customer],$B127)</f>
        <v>0</v>
      </c>
    </row>
    <row r="128" spans="2:14" x14ac:dyDescent="0.3">
      <c r="B128" s="3" t="e" cm="1">
        <f t="array" ref="B128">INDEX('WL Records'!$C2:$C1767, MATCH(0, COUNTIF($B$38:B127, 'WL Records'!$C2:$C1767), 0))</f>
        <v>#N/A</v>
      </c>
      <c r="C128">
        <f>SUMIFS(Table1[WL],Table1[Month],C$25,Table1[Customer],$B128)</f>
        <v>0</v>
      </c>
      <c r="D128">
        <f>SUMIFS(Table1[WL],Table1[Month],D$25,Table1[Customer],$B128)</f>
        <v>0</v>
      </c>
      <c r="E128">
        <f>SUMIFS(Table1[WL],Table1[Month],E$25,Table1[Customer],$B128)</f>
        <v>0</v>
      </c>
      <c r="F128">
        <f>SUMIFS(Table1[WL],Table1[Month],F$25,Table1[Customer],$B128)</f>
        <v>0</v>
      </c>
      <c r="G128">
        <f>SUMIFS(Table1[WL],Table1[Month],G$25,Table1[Customer],$B128)</f>
        <v>0</v>
      </c>
      <c r="H128">
        <f>SUMIFS(Table1[WL],Table1[Month],H$25,Table1[Customer],$B128)</f>
        <v>0</v>
      </c>
      <c r="I128">
        <f>SUMIFS(Table1[WL],Table1[Month],I$25,Table1[Customer],$B128)</f>
        <v>0</v>
      </c>
      <c r="J128">
        <f>SUMIFS(Table1[WL],Table1[Month],J$25,Table1[Customer],$B128)</f>
        <v>0</v>
      </c>
      <c r="K128">
        <f>SUMIFS(Table1[WL],Table1[Month],K$25,Table1[Customer],$B128)</f>
        <v>0</v>
      </c>
      <c r="L128">
        <f>SUMIFS(Table1[WL],Table1[Month],L$25,Table1[Customer],$B128)</f>
        <v>0</v>
      </c>
      <c r="M128">
        <f>SUMIFS(Table1[WL],Table1[Month],M$25,Table1[Customer],$B128)</f>
        <v>0</v>
      </c>
      <c r="N128">
        <f>SUMIFS(Table1[WL],Table1[Month],N$25,Table1[Customer],$B128)</f>
        <v>0</v>
      </c>
    </row>
    <row r="129" spans="2:14" x14ac:dyDescent="0.3">
      <c r="B129" s="3" t="e" cm="1">
        <f t="array" ref="B129">INDEX('WL Records'!$C2:$C1768, MATCH(0, COUNTIF($B$38:B128, 'WL Records'!$C2:$C1768), 0))</f>
        <v>#N/A</v>
      </c>
      <c r="C129">
        <f>SUMIFS(Table1[WL],Table1[Month],C$25,Table1[Customer],$B129)</f>
        <v>0</v>
      </c>
      <c r="D129">
        <f>SUMIFS(Table1[WL],Table1[Month],D$25,Table1[Customer],$B129)</f>
        <v>0</v>
      </c>
      <c r="E129">
        <f>SUMIFS(Table1[WL],Table1[Month],E$25,Table1[Customer],$B129)</f>
        <v>0</v>
      </c>
      <c r="F129">
        <f>SUMIFS(Table1[WL],Table1[Month],F$25,Table1[Customer],$B129)</f>
        <v>0</v>
      </c>
      <c r="G129">
        <f>SUMIFS(Table1[WL],Table1[Month],G$25,Table1[Customer],$B129)</f>
        <v>0</v>
      </c>
      <c r="H129">
        <f>SUMIFS(Table1[WL],Table1[Month],H$25,Table1[Customer],$B129)</f>
        <v>0</v>
      </c>
      <c r="I129">
        <f>SUMIFS(Table1[WL],Table1[Month],I$25,Table1[Customer],$B129)</f>
        <v>0</v>
      </c>
      <c r="J129">
        <f>SUMIFS(Table1[WL],Table1[Month],J$25,Table1[Customer],$B129)</f>
        <v>0</v>
      </c>
      <c r="K129">
        <f>SUMIFS(Table1[WL],Table1[Month],K$25,Table1[Customer],$B129)</f>
        <v>0</v>
      </c>
      <c r="L129">
        <f>SUMIFS(Table1[WL],Table1[Month],L$25,Table1[Customer],$B129)</f>
        <v>0</v>
      </c>
      <c r="M129">
        <f>SUMIFS(Table1[WL],Table1[Month],M$25,Table1[Customer],$B129)</f>
        <v>0</v>
      </c>
      <c r="N129">
        <f>SUMIFS(Table1[WL],Table1[Month],N$25,Table1[Customer],$B129)</f>
        <v>0</v>
      </c>
    </row>
    <row r="130" spans="2:14" x14ac:dyDescent="0.3">
      <c r="B130" s="3" t="e" cm="1">
        <f t="array" ref="B130">INDEX('WL Records'!$C2:$C1769, MATCH(0, COUNTIF($B$38:B129, 'WL Records'!$C2:$C1769), 0))</f>
        <v>#N/A</v>
      </c>
      <c r="C130">
        <f>SUMIFS(Table1[WL],Table1[Month],C$25,Table1[Customer],$B130)</f>
        <v>0</v>
      </c>
      <c r="D130">
        <f>SUMIFS(Table1[WL],Table1[Month],D$25,Table1[Customer],$B130)</f>
        <v>0</v>
      </c>
      <c r="E130">
        <f>SUMIFS(Table1[WL],Table1[Month],E$25,Table1[Customer],$B130)</f>
        <v>0</v>
      </c>
      <c r="F130">
        <f>SUMIFS(Table1[WL],Table1[Month],F$25,Table1[Customer],$B130)</f>
        <v>0</v>
      </c>
      <c r="G130">
        <f>SUMIFS(Table1[WL],Table1[Month],G$25,Table1[Customer],$B130)</f>
        <v>0</v>
      </c>
      <c r="H130">
        <f>SUMIFS(Table1[WL],Table1[Month],H$25,Table1[Customer],$B130)</f>
        <v>0</v>
      </c>
      <c r="I130">
        <f>SUMIFS(Table1[WL],Table1[Month],I$25,Table1[Customer],$B130)</f>
        <v>0</v>
      </c>
      <c r="J130">
        <f>SUMIFS(Table1[WL],Table1[Month],J$25,Table1[Customer],$B130)</f>
        <v>0</v>
      </c>
      <c r="K130">
        <f>SUMIFS(Table1[WL],Table1[Month],K$25,Table1[Customer],$B130)</f>
        <v>0</v>
      </c>
      <c r="L130">
        <f>SUMIFS(Table1[WL],Table1[Month],L$25,Table1[Customer],$B130)</f>
        <v>0</v>
      </c>
      <c r="M130">
        <f>SUMIFS(Table1[WL],Table1[Month],M$25,Table1[Customer],$B130)</f>
        <v>0</v>
      </c>
      <c r="N130">
        <f>SUMIFS(Table1[WL],Table1[Month],N$25,Table1[Customer],$B130)</f>
        <v>0</v>
      </c>
    </row>
    <row r="131" spans="2:14" x14ac:dyDescent="0.3">
      <c r="B131" s="3" t="e" cm="1">
        <f t="array" ref="B131">INDEX('WL Records'!$C2:$C1770, MATCH(0, COUNTIF($B$38:B130, 'WL Records'!$C2:$C1770), 0))</f>
        <v>#N/A</v>
      </c>
      <c r="C131">
        <f>SUMIFS(Table1[WL],Table1[Month],C$25,Table1[Customer],$B131)</f>
        <v>0</v>
      </c>
      <c r="D131">
        <f>SUMIFS(Table1[WL],Table1[Month],D$25,Table1[Customer],$B131)</f>
        <v>0</v>
      </c>
      <c r="E131">
        <f>SUMIFS(Table1[WL],Table1[Month],E$25,Table1[Customer],$B131)</f>
        <v>0</v>
      </c>
      <c r="F131">
        <f>SUMIFS(Table1[WL],Table1[Month],F$25,Table1[Customer],$B131)</f>
        <v>0</v>
      </c>
      <c r="G131">
        <f>SUMIFS(Table1[WL],Table1[Month],G$25,Table1[Customer],$B131)</f>
        <v>0</v>
      </c>
      <c r="H131">
        <f>SUMIFS(Table1[WL],Table1[Month],H$25,Table1[Customer],$B131)</f>
        <v>0</v>
      </c>
      <c r="I131">
        <f>SUMIFS(Table1[WL],Table1[Month],I$25,Table1[Customer],$B131)</f>
        <v>0</v>
      </c>
      <c r="J131">
        <f>SUMIFS(Table1[WL],Table1[Month],J$25,Table1[Customer],$B131)</f>
        <v>0</v>
      </c>
      <c r="K131">
        <f>SUMIFS(Table1[WL],Table1[Month],K$25,Table1[Customer],$B131)</f>
        <v>0</v>
      </c>
      <c r="L131">
        <f>SUMIFS(Table1[WL],Table1[Month],L$25,Table1[Customer],$B131)</f>
        <v>0</v>
      </c>
      <c r="M131">
        <f>SUMIFS(Table1[WL],Table1[Month],M$25,Table1[Customer],$B131)</f>
        <v>0</v>
      </c>
      <c r="N131">
        <f>SUMIFS(Table1[WL],Table1[Month],N$25,Table1[Customer],$B131)</f>
        <v>0</v>
      </c>
    </row>
    <row r="132" spans="2:14" x14ac:dyDescent="0.3">
      <c r="B132" s="3" t="e" cm="1">
        <f t="array" ref="B132">INDEX('WL Records'!$C2:$C1771, MATCH(0, COUNTIF($B$38:B131, 'WL Records'!$C2:$C1771), 0))</f>
        <v>#N/A</v>
      </c>
      <c r="C132">
        <f>SUMIFS(Table1[WL],Table1[Month],C$25,Table1[Customer],$B132)</f>
        <v>0</v>
      </c>
      <c r="D132">
        <f>SUMIFS(Table1[WL],Table1[Month],D$25,Table1[Customer],$B132)</f>
        <v>0</v>
      </c>
      <c r="E132">
        <f>SUMIFS(Table1[WL],Table1[Month],E$25,Table1[Customer],$B132)</f>
        <v>0</v>
      </c>
      <c r="F132">
        <f>SUMIFS(Table1[WL],Table1[Month],F$25,Table1[Customer],$B132)</f>
        <v>0</v>
      </c>
      <c r="G132">
        <f>SUMIFS(Table1[WL],Table1[Month],G$25,Table1[Customer],$B132)</f>
        <v>0</v>
      </c>
      <c r="H132">
        <f>SUMIFS(Table1[WL],Table1[Month],H$25,Table1[Customer],$B132)</f>
        <v>0</v>
      </c>
      <c r="I132">
        <f>SUMIFS(Table1[WL],Table1[Month],I$25,Table1[Customer],$B132)</f>
        <v>0</v>
      </c>
      <c r="J132">
        <f>SUMIFS(Table1[WL],Table1[Month],J$25,Table1[Customer],$B132)</f>
        <v>0</v>
      </c>
      <c r="K132">
        <f>SUMIFS(Table1[WL],Table1[Month],K$25,Table1[Customer],$B132)</f>
        <v>0</v>
      </c>
      <c r="L132">
        <f>SUMIFS(Table1[WL],Table1[Month],L$25,Table1[Customer],$B132)</f>
        <v>0</v>
      </c>
      <c r="M132">
        <f>SUMIFS(Table1[WL],Table1[Month],M$25,Table1[Customer],$B132)</f>
        <v>0</v>
      </c>
      <c r="N132">
        <f>SUMIFS(Table1[WL],Table1[Month],N$25,Table1[Customer],$B132)</f>
        <v>0</v>
      </c>
    </row>
    <row r="133" spans="2:14" x14ac:dyDescent="0.3">
      <c r="B133" s="3" t="e" cm="1">
        <f t="array" ref="B133">INDEX('WL Records'!$C2:$C1772, MATCH(0, COUNTIF($B$38:B132, 'WL Records'!$C2:$C1772), 0))</f>
        <v>#N/A</v>
      </c>
      <c r="C133">
        <f>SUMIFS(Table1[WL],Table1[Month],C$25,Table1[Customer],$B133)</f>
        <v>0</v>
      </c>
      <c r="D133">
        <f>SUMIFS(Table1[WL],Table1[Month],D$25,Table1[Customer],$B133)</f>
        <v>0</v>
      </c>
      <c r="E133">
        <f>SUMIFS(Table1[WL],Table1[Month],E$25,Table1[Customer],$B133)</f>
        <v>0</v>
      </c>
      <c r="F133">
        <f>SUMIFS(Table1[WL],Table1[Month],F$25,Table1[Customer],$B133)</f>
        <v>0</v>
      </c>
      <c r="G133">
        <f>SUMIFS(Table1[WL],Table1[Month],G$25,Table1[Customer],$B133)</f>
        <v>0</v>
      </c>
      <c r="H133">
        <f>SUMIFS(Table1[WL],Table1[Month],H$25,Table1[Customer],$B133)</f>
        <v>0</v>
      </c>
      <c r="I133">
        <f>SUMIFS(Table1[WL],Table1[Month],I$25,Table1[Customer],$B133)</f>
        <v>0</v>
      </c>
      <c r="J133">
        <f>SUMIFS(Table1[WL],Table1[Month],J$25,Table1[Customer],$B133)</f>
        <v>0</v>
      </c>
      <c r="K133">
        <f>SUMIFS(Table1[WL],Table1[Month],K$25,Table1[Customer],$B133)</f>
        <v>0</v>
      </c>
      <c r="L133">
        <f>SUMIFS(Table1[WL],Table1[Month],L$25,Table1[Customer],$B133)</f>
        <v>0</v>
      </c>
      <c r="M133">
        <f>SUMIFS(Table1[WL],Table1[Month],M$25,Table1[Customer],$B133)</f>
        <v>0</v>
      </c>
      <c r="N133">
        <f>SUMIFS(Table1[WL],Table1[Month],N$25,Table1[Customer],$B133)</f>
        <v>0</v>
      </c>
    </row>
    <row r="134" spans="2:14" x14ac:dyDescent="0.3">
      <c r="B134" s="3" t="e" cm="1">
        <f t="array" ref="B134">INDEX('WL Records'!$C2:$C1773, MATCH(0, COUNTIF($B$38:B133, 'WL Records'!$C2:$C1773), 0))</f>
        <v>#N/A</v>
      </c>
      <c r="C134">
        <f>SUMIFS(Table1[WL],Table1[Month],C$25,Table1[Customer],$B134)</f>
        <v>0</v>
      </c>
      <c r="D134">
        <f>SUMIFS(Table1[WL],Table1[Month],D$25,Table1[Customer],$B134)</f>
        <v>0</v>
      </c>
      <c r="E134">
        <f>SUMIFS(Table1[WL],Table1[Month],E$25,Table1[Customer],$B134)</f>
        <v>0</v>
      </c>
      <c r="F134">
        <f>SUMIFS(Table1[WL],Table1[Month],F$25,Table1[Customer],$B134)</f>
        <v>0</v>
      </c>
      <c r="G134">
        <f>SUMIFS(Table1[WL],Table1[Month],G$25,Table1[Customer],$B134)</f>
        <v>0</v>
      </c>
      <c r="H134">
        <f>SUMIFS(Table1[WL],Table1[Month],H$25,Table1[Customer],$B134)</f>
        <v>0</v>
      </c>
      <c r="I134">
        <f>SUMIFS(Table1[WL],Table1[Month],I$25,Table1[Customer],$B134)</f>
        <v>0</v>
      </c>
      <c r="J134">
        <f>SUMIFS(Table1[WL],Table1[Month],J$25,Table1[Customer],$B134)</f>
        <v>0</v>
      </c>
      <c r="K134">
        <f>SUMIFS(Table1[WL],Table1[Month],K$25,Table1[Customer],$B134)</f>
        <v>0</v>
      </c>
      <c r="L134">
        <f>SUMIFS(Table1[WL],Table1[Month],L$25,Table1[Customer],$B134)</f>
        <v>0</v>
      </c>
      <c r="M134">
        <f>SUMIFS(Table1[WL],Table1[Month],M$25,Table1[Customer],$B134)</f>
        <v>0</v>
      </c>
      <c r="N134">
        <f>SUMIFS(Table1[WL],Table1[Month],N$25,Table1[Customer],$B134)</f>
        <v>0</v>
      </c>
    </row>
    <row r="135" spans="2:14" x14ac:dyDescent="0.3">
      <c r="B135" s="3" t="e" cm="1">
        <f t="array" ref="B135">INDEX('WL Records'!$C2:$C1774, MATCH(0, COUNTIF($B$38:B134, 'WL Records'!$C2:$C1774), 0))</f>
        <v>#N/A</v>
      </c>
      <c r="C135">
        <f>SUMIFS(Table1[WL],Table1[Month],C$25,Table1[Customer],$B135)</f>
        <v>0</v>
      </c>
      <c r="D135">
        <f>SUMIFS(Table1[WL],Table1[Month],D$25,Table1[Customer],$B135)</f>
        <v>0</v>
      </c>
      <c r="E135">
        <f>SUMIFS(Table1[WL],Table1[Month],E$25,Table1[Customer],$B135)</f>
        <v>0</v>
      </c>
      <c r="F135">
        <f>SUMIFS(Table1[WL],Table1[Month],F$25,Table1[Customer],$B135)</f>
        <v>0</v>
      </c>
      <c r="G135">
        <f>SUMIFS(Table1[WL],Table1[Month],G$25,Table1[Customer],$B135)</f>
        <v>0</v>
      </c>
      <c r="H135">
        <f>SUMIFS(Table1[WL],Table1[Month],H$25,Table1[Customer],$B135)</f>
        <v>0</v>
      </c>
      <c r="I135">
        <f>SUMIFS(Table1[WL],Table1[Month],I$25,Table1[Customer],$B135)</f>
        <v>0</v>
      </c>
      <c r="J135">
        <f>SUMIFS(Table1[WL],Table1[Month],J$25,Table1[Customer],$B135)</f>
        <v>0</v>
      </c>
      <c r="K135">
        <f>SUMIFS(Table1[WL],Table1[Month],K$25,Table1[Customer],$B135)</f>
        <v>0</v>
      </c>
      <c r="L135">
        <f>SUMIFS(Table1[WL],Table1[Month],L$25,Table1[Customer],$B135)</f>
        <v>0</v>
      </c>
      <c r="M135">
        <f>SUMIFS(Table1[WL],Table1[Month],M$25,Table1[Customer],$B135)</f>
        <v>0</v>
      </c>
      <c r="N135">
        <f>SUMIFS(Table1[WL],Table1[Month],N$25,Table1[Customer],$B135)</f>
        <v>0</v>
      </c>
    </row>
    <row r="136" spans="2:14" x14ac:dyDescent="0.3">
      <c r="B136" s="3" t="e" cm="1">
        <f t="array" ref="B136">INDEX('WL Records'!$C2:$C1775, MATCH(0, COUNTIF($B$38:B135, 'WL Records'!$C2:$C1775), 0))</f>
        <v>#N/A</v>
      </c>
      <c r="C136">
        <f>SUMIFS(Table1[WL],Table1[Month],C$25,Table1[Customer],$B136)</f>
        <v>0</v>
      </c>
      <c r="D136">
        <f>SUMIFS(Table1[WL],Table1[Month],D$25,Table1[Customer],$B136)</f>
        <v>0</v>
      </c>
      <c r="E136">
        <f>SUMIFS(Table1[WL],Table1[Month],E$25,Table1[Customer],$B136)</f>
        <v>0</v>
      </c>
      <c r="F136">
        <f>SUMIFS(Table1[WL],Table1[Month],F$25,Table1[Customer],$B136)</f>
        <v>0</v>
      </c>
      <c r="G136">
        <f>SUMIFS(Table1[WL],Table1[Month],G$25,Table1[Customer],$B136)</f>
        <v>0</v>
      </c>
      <c r="H136">
        <f>SUMIFS(Table1[WL],Table1[Month],H$25,Table1[Customer],$B136)</f>
        <v>0</v>
      </c>
      <c r="I136">
        <f>SUMIFS(Table1[WL],Table1[Month],I$25,Table1[Customer],$B136)</f>
        <v>0</v>
      </c>
      <c r="J136">
        <f>SUMIFS(Table1[WL],Table1[Month],J$25,Table1[Customer],$B136)</f>
        <v>0</v>
      </c>
      <c r="K136">
        <f>SUMIFS(Table1[WL],Table1[Month],K$25,Table1[Customer],$B136)</f>
        <v>0</v>
      </c>
      <c r="L136">
        <f>SUMIFS(Table1[WL],Table1[Month],L$25,Table1[Customer],$B136)</f>
        <v>0</v>
      </c>
      <c r="M136">
        <f>SUMIFS(Table1[WL],Table1[Month],M$25,Table1[Customer],$B136)</f>
        <v>0</v>
      </c>
      <c r="N136">
        <f>SUMIFS(Table1[WL],Table1[Month],N$25,Table1[Customer],$B136)</f>
        <v>0</v>
      </c>
    </row>
    <row r="137" spans="2:14" x14ac:dyDescent="0.3">
      <c r="B137" s="3" t="e" cm="1">
        <f t="array" ref="B137">INDEX('WL Records'!$C2:$C1776, MATCH(0, COUNTIF($B$38:B136, 'WL Records'!$C2:$C1776), 0))</f>
        <v>#N/A</v>
      </c>
      <c r="C137">
        <f>SUMIFS(Table1[WL],Table1[Month],C$25,Table1[Customer],$B137)</f>
        <v>0</v>
      </c>
      <c r="D137">
        <f>SUMIFS(Table1[WL],Table1[Month],D$25,Table1[Customer],$B137)</f>
        <v>0</v>
      </c>
      <c r="E137">
        <f>SUMIFS(Table1[WL],Table1[Month],E$25,Table1[Customer],$B137)</f>
        <v>0</v>
      </c>
      <c r="F137">
        <f>SUMIFS(Table1[WL],Table1[Month],F$25,Table1[Customer],$B137)</f>
        <v>0</v>
      </c>
      <c r="G137">
        <f>SUMIFS(Table1[WL],Table1[Month],G$25,Table1[Customer],$B137)</f>
        <v>0</v>
      </c>
      <c r="H137">
        <f>SUMIFS(Table1[WL],Table1[Month],H$25,Table1[Customer],$B137)</f>
        <v>0</v>
      </c>
      <c r="I137">
        <f>SUMIFS(Table1[WL],Table1[Month],I$25,Table1[Customer],$B137)</f>
        <v>0</v>
      </c>
      <c r="J137">
        <f>SUMIFS(Table1[WL],Table1[Month],J$25,Table1[Customer],$B137)</f>
        <v>0</v>
      </c>
      <c r="K137">
        <f>SUMIFS(Table1[WL],Table1[Month],K$25,Table1[Customer],$B137)</f>
        <v>0</v>
      </c>
      <c r="L137">
        <f>SUMIFS(Table1[WL],Table1[Month],L$25,Table1[Customer],$B137)</f>
        <v>0</v>
      </c>
      <c r="M137">
        <f>SUMIFS(Table1[WL],Table1[Month],M$25,Table1[Customer],$B137)</f>
        <v>0</v>
      </c>
      <c r="N137">
        <f>SUMIFS(Table1[WL],Table1[Month],N$25,Table1[Customer],$B137)</f>
        <v>0</v>
      </c>
    </row>
    <row r="138" spans="2:14" x14ac:dyDescent="0.3">
      <c r="B138" s="3" t="e" cm="1">
        <f t="array" ref="B138">INDEX('WL Records'!$C2:$C1777, MATCH(0, COUNTIF($B$38:B137, 'WL Records'!$C2:$C1777), 0))</f>
        <v>#N/A</v>
      </c>
      <c r="C138">
        <f>SUMIFS(Table1[WL],Table1[Month],C$25,Table1[Customer],$B138)</f>
        <v>0</v>
      </c>
      <c r="D138">
        <f>SUMIFS(Table1[WL],Table1[Month],D$25,Table1[Customer],$B138)</f>
        <v>0</v>
      </c>
      <c r="E138">
        <f>SUMIFS(Table1[WL],Table1[Month],E$25,Table1[Customer],$B138)</f>
        <v>0</v>
      </c>
      <c r="F138">
        <f>SUMIFS(Table1[WL],Table1[Month],F$25,Table1[Customer],$B138)</f>
        <v>0</v>
      </c>
      <c r="G138">
        <f>SUMIFS(Table1[WL],Table1[Month],G$25,Table1[Customer],$B138)</f>
        <v>0</v>
      </c>
      <c r="H138">
        <f>SUMIFS(Table1[WL],Table1[Month],H$25,Table1[Customer],$B138)</f>
        <v>0</v>
      </c>
      <c r="I138">
        <f>SUMIFS(Table1[WL],Table1[Month],I$25,Table1[Customer],$B138)</f>
        <v>0</v>
      </c>
      <c r="J138">
        <f>SUMIFS(Table1[WL],Table1[Month],J$25,Table1[Customer],$B138)</f>
        <v>0</v>
      </c>
      <c r="K138">
        <f>SUMIFS(Table1[WL],Table1[Month],K$25,Table1[Customer],$B138)</f>
        <v>0</v>
      </c>
      <c r="L138">
        <f>SUMIFS(Table1[WL],Table1[Month],L$25,Table1[Customer],$B138)</f>
        <v>0</v>
      </c>
      <c r="M138">
        <f>SUMIFS(Table1[WL],Table1[Month],M$25,Table1[Customer],$B138)</f>
        <v>0</v>
      </c>
      <c r="N138">
        <f>SUMIFS(Table1[WL],Table1[Month],N$25,Table1[Customer],$B138)</f>
        <v>0</v>
      </c>
    </row>
  </sheetData>
  <mergeCells count="1">
    <mergeCell ref="R27:S27"/>
  </mergeCells>
  <phoneticPr fontId="8" type="noConversion"/>
  <conditionalFormatting sqref="R47 T47 V47 X47 Z47 AB47 AD47 AF47 AH47 AJ47 AL47 AN47">
    <cfRule type="cellIs" dxfId="14" priority="1" operator="equal">
      <formula>$R$49</formula>
    </cfRule>
  </conditionalFormatting>
  <pageMargins left="0.7" right="0.7" top="0.75" bottom="0.75" header="0.3" footer="0.3"/>
  <pageSetup paperSize="9" orientation="portrait" r:id="rId1"/>
  <headerFooter>
    <oddFooter>&amp;L&amp;1#&amp;"Calibri"&amp;7&amp;K000000C2 General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27"/>
  <sheetViews>
    <sheetView showGridLines="0" workbookViewId="0">
      <selection activeCell="A2" sqref="A2:I1027"/>
    </sheetView>
  </sheetViews>
  <sheetFormatPr defaultRowHeight="14.4" x14ac:dyDescent="0.3"/>
  <cols>
    <col min="1" max="1" width="11" style="20" customWidth="1"/>
    <col min="2" max="2" width="11.33203125" customWidth="1"/>
    <col min="3" max="3" width="29.88671875" customWidth="1"/>
    <col min="4" max="4" width="16.33203125" bestFit="1" customWidth="1"/>
    <col min="5" max="5" width="29.6640625" customWidth="1"/>
    <col min="6" max="6" width="26.6640625" bestFit="1" customWidth="1"/>
    <col min="7" max="7" width="16.44140625" customWidth="1"/>
    <col min="8" max="8" width="9.6640625" customWidth="1"/>
    <col min="9" max="9" width="8.88671875" customWidth="1"/>
  </cols>
  <sheetData>
    <row r="1" spans="1:9" x14ac:dyDescent="0.3">
      <c r="A1" s="70" t="s">
        <v>6</v>
      </c>
      <c r="B1" s="16" t="s">
        <v>8</v>
      </c>
      <c r="C1" s="17" t="s">
        <v>26</v>
      </c>
      <c r="D1" s="17" t="s">
        <v>41</v>
      </c>
      <c r="E1" s="17" t="s">
        <v>42</v>
      </c>
      <c r="F1" s="17" t="s">
        <v>43</v>
      </c>
      <c r="G1" s="17" t="s">
        <v>44</v>
      </c>
      <c r="H1" s="71" t="s">
        <v>9</v>
      </c>
      <c r="I1" s="72" t="s">
        <v>45</v>
      </c>
    </row>
    <row r="2" spans="1:9" x14ac:dyDescent="0.3">
      <c r="A2" s="19"/>
      <c r="B2" s="3"/>
      <c r="C2" s="3"/>
      <c r="D2" s="3"/>
      <c r="E2" s="3"/>
      <c r="F2" s="3"/>
      <c r="G2" s="3"/>
      <c r="H2" s="8"/>
      <c r="I2" s="1"/>
    </row>
    <row r="3" spans="1:9" x14ac:dyDescent="0.3">
      <c r="A3" s="19"/>
      <c r="B3" s="3"/>
      <c r="C3" s="3"/>
      <c r="D3" s="3"/>
      <c r="E3" s="3"/>
      <c r="F3" s="3"/>
      <c r="G3" s="3"/>
      <c r="H3" s="8"/>
      <c r="I3" s="1"/>
    </row>
    <row r="4" spans="1:9" x14ac:dyDescent="0.3">
      <c r="A4" s="19"/>
      <c r="B4" s="3"/>
      <c r="C4" s="3"/>
      <c r="D4" s="3"/>
      <c r="E4" s="3"/>
      <c r="F4" s="3"/>
      <c r="G4" s="3"/>
      <c r="H4" s="8"/>
      <c r="I4" s="1"/>
    </row>
    <row r="5" spans="1:9" x14ac:dyDescent="0.3">
      <c r="A5" s="19"/>
      <c r="B5" s="3"/>
      <c r="C5" s="3"/>
      <c r="D5" s="3"/>
      <c r="E5" s="3"/>
      <c r="F5" s="3"/>
      <c r="G5" s="3"/>
      <c r="H5" s="8"/>
      <c r="I5" s="1"/>
    </row>
    <row r="6" spans="1:9" x14ac:dyDescent="0.3">
      <c r="A6" s="19"/>
      <c r="B6" s="3"/>
      <c r="C6" s="3"/>
      <c r="D6" s="3"/>
      <c r="E6" s="3"/>
      <c r="F6" s="3"/>
      <c r="G6" s="3"/>
      <c r="H6" s="8"/>
      <c r="I6" s="1"/>
    </row>
    <row r="7" spans="1:9" x14ac:dyDescent="0.3">
      <c r="A7" s="19"/>
      <c r="B7" s="3"/>
      <c r="C7" s="3"/>
      <c r="D7" s="3"/>
      <c r="E7" s="3"/>
      <c r="F7" s="3"/>
      <c r="G7" s="3"/>
      <c r="H7" s="8"/>
      <c r="I7" s="1"/>
    </row>
    <row r="8" spans="1:9" x14ac:dyDescent="0.3">
      <c r="A8" s="19"/>
      <c r="B8" s="3"/>
      <c r="C8" s="3"/>
      <c r="D8" s="3"/>
      <c r="E8" s="3"/>
      <c r="F8" s="3"/>
      <c r="G8" s="3"/>
      <c r="H8" s="8"/>
      <c r="I8" s="1"/>
    </row>
    <row r="9" spans="1:9" x14ac:dyDescent="0.3">
      <c r="A9" s="19"/>
      <c r="B9" s="3"/>
      <c r="C9" s="3"/>
      <c r="D9" s="3"/>
      <c r="E9" s="3"/>
      <c r="F9" s="3"/>
      <c r="G9" s="3"/>
      <c r="H9" s="8"/>
      <c r="I9" s="1"/>
    </row>
    <row r="10" spans="1:9" x14ac:dyDescent="0.3">
      <c r="A10" s="19"/>
      <c r="B10" s="3"/>
      <c r="C10" s="3"/>
      <c r="D10" s="3"/>
      <c r="E10" s="3"/>
      <c r="F10" s="3"/>
      <c r="G10" s="3"/>
      <c r="H10" s="8"/>
      <c r="I10" s="1"/>
    </row>
    <row r="11" spans="1:9" x14ac:dyDescent="0.3">
      <c r="A11" s="19"/>
      <c r="B11" s="3"/>
      <c r="C11" s="3"/>
      <c r="D11" s="3"/>
      <c r="E11" s="3"/>
      <c r="F11" s="3"/>
      <c r="G11" s="3"/>
      <c r="H11" s="8"/>
      <c r="I11" s="1"/>
    </row>
    <row r="12" spans="1:9" x14ac:dyDescent="0.3">
      <c r="A12" s="19"/>
      <c r="B12" s="3"/>
      <c r="C12" s="3"/>
      <c r="D12" s="3"/>
      <c r="E12" s="3"/>
      <c r="F12" s="3"/>
      <c r="G12" s="3"/>
      <c r="H12" s="8"/>
      <c r="I12" s="1"/>
    </row>
    <row r="13" spans="1:9" x14ac:dyDescent="0.3">
      <c r="A13" s="19"/>
      <c r="B13" s="3"/>
      <c r="C13" s="3"/>
      <c r="D13" s="3"/>
      <c r="E13" s="3"/>
      <c r="F13" s="3"/>
      <c r="G13" s="3"/>
      <c r="H13" s="8"/>
      <c r="I13" s="1"/>
    </row>
    <row r="14" spans="1:9" x14ac:dyDescent="0.3">
      <c r="A14" s="19"/>
      <c r="B14" s="3"/>
      <c r="C14" s="3"/>
      <c r="D14" s="3"/>
      <c r="E14" s="3"/>
      <c r="F14" s="3"/>
      <c r="G14" s="3"/>
      <c r="H14" s="8"/>
      <c r="I14" s="1"/>
    </row>
    <row r="15" spans="1:9" x14ac:dyDescent="0.3">
      <c r="A15" s="19"/>
      <c r="B15" s="3"/>
      <c r="C15" s="3"/>
      <c r="D15" s="3"/>
      <c r="E15" s="3"/>
      <c r="F15" s="3"/>
      <c r="G15" s="3"/>
      <c r="H15" s="8"/>
      <c r="I15" s="1"/>
    </row>
    <row r="16" spans="1:9" x14ac:dyDescent="0.3">
      <c r="A16" s="19"/>
      <c r="B16" s="3"/>
      <c r="C16" s="3"/>
      <c r="D16" s="3"/>
      <c r="E16" s="3"/>
      <c r="F16" s="3"/>
      <c r="G16" s="3"/>
      <c r="H16" s="8"/>
      <c r="I16" s="1"/>
    </row>
    <row r="17" spans="1:9" x14ac:dyDescent="0.3">
      <c r="A17" s="19"/>
      <c r="B17" s="3"/>
      <c r="C17" s="3"/>
      <c r="D17" s="3"/>
      <c r="E17" s="3"/>
      <c r="F17" s="3"/>
      <c r="G17" s="3"/>
      <c r="H17" s="8"/>
      <c r="I17" s="1"/>
    </row>
    <row r="18" spans="1:9" x14ac:dyDescent="0.3">
      <c r="A18" s="19"/>
      <c r="B18" s="3"/>
      <c r="C18" s="3"/>
      <c r="D18" s="3"/>
      <c r="E18" s="3"/>
      <c r="F18" s="3"/>
      <c r="G18" s="3"/>
      <c r="H18" s="8"/>
      <c r="I18" s="1"/>
    </row>
    <row r="19" spans="1:9" x14ac:dyDescent="0.3">
      <c r="A19" s="19"/>
      <c r="B19" s="3"/>
      <c r="C19" s="3"/>
      <c r="D19" s="3"/>
      <c r="E19" s="3"/>
      <c r="F19" s="3"/>
      <c r="G19" s="3"/>
      <c r="H19" s="8"/>
      <c r="I19" s="1"/>
    </row>
    <row r="20" spans="1:9" x14ac:dyDescent="0.3">
      <c r="A20" s="19"/>
      <c r="B20" s="3"/>
      <c r="C20" s="3"/>
      <c r="D20" s="3"/>
      <c r="E20" s="3"/>
      <c r="F20" s="3"/>
      <c r="G20" s="3"/>
      <c r="H20" s="8"/>
      <c r="I20" s="1"/>
    </row>
    <row r="21" spans="1:9" x14ac:dyDescent="0.3">
      <c r="A21" s="19"/>
      <c r="B21" s="3"/>
      <c r="C21" s="3"/>
      <c r="D21" s="3"/>
      <c r="E21" s="3"/>
      <c r="F21" s="3"/>
      <c r="G21" s="3"/>
      <c r="H21" s="8"/>
      <c r="I21" s="1"/>
    </row>
    <row r="22" spans="1:9" x14ac:dyDescent="0.3">
      <c r="A22" s="19"/>
      <c r="B22" s="3"/>
      <c r="C22" s="3"/>
      <c r="D22" s="3"/>
      <c r="E22" s="3"/>
      <c r="F22" s="3"/>
      <c r="G22" s="3"/>
      <c r="H22" s="8"/>
      <c r="I22" s="1"/>
    </row>
    <row r="23" spans="1:9" x14ac:dyDescent="0.3">
      <c r="A23" s="19"/>
      <c r="B23" s="3"/>
      <c r="C23" s="3"/>
      <c r="D23" s="3"/>
      <c r="E23" s="3"/>
      <c r="F23" s="3"/>
      <c r="G23" s="3"/>
      <c r="H23" s="8"/>
      <c r="I23" s="1"/>
    </row>
    <row r="24" spans="1:9" x14ac:dyDescent="0.3">
      <c r="A24" s="19"/>
      <c r="B24" s="3"/>
      <c r="C24" s="3"/>
      <c r="D24" s="3"/>
      <c r="E24" s="3"/>
      <c r="F24" s="3"/>
      <c r="G24" s="3"/>
      <c r="H24" s="8"/>
      <c r="I24" s="1"/>
    </row>
    <row r="25" spans="1:9" x14ac:dyDescent="0.3">
      <c r="A25" s="19"/>
      <c r="B25" s="3"/>
      <c r="C25" s="3"/>
      <c r="D25" s="3"/>
      <c r="E25" s="3"/>
      <c r="F25" s="3"/>
      <c r="G25" s="3"/>
      <c r="H25" s="8"/>
      <c r="I25" s="1"/>
    </row>
    <row r="26" spans="1:9" x14ac:dyDescent="0.3">
      <c r="A26" s="19"/>
      <c r="B26" s="3"/>
      <c r="C26" s="3"/>
      <c r="D26" s="3"/>
      <c r="E26" s="3"/>
      <c r="F26" s="3"/>
      <c r="G26" s="3"/>
      <c r="H26" s="8"/>
      <c r="I26" s="1"/>
    </row>
    <row r="27" spans="1:9" x14ac:dyDescent="0.3">
      <c r="A27" s="19"/>
      <c r="B27" s="3"/>
      <c r="C27" s="3"/>
      <c r="D27" s="3"/>
      <c r="E27" s="3"/>
      <c r="F27" s="3"/>
      <c r="G27" s="3"/>
      <c r="H27" s="8"/>
      <c r="I27" s="1"/>
    </row>
    <row r="28" spans="1:9" x14ac:dyDescent="0.3">
      <c r="A28" s="19"/>
      <c r="B28" s="3"/>
      <c r="C28" s="3"/>
      <c r="D28" s="3"/>
      <c r="E28" s="3"/>
      <c r="F28" s="3"/>
      <c r="G28" s="3"/>
      <c r="H28" s="8"/>
      <c r="I28" s="1"/>
    </row>
    <row r="29" spans="1:9" x14ac:dyDescent="0.3">
      <c r="A29" s="19"/>
      <c r="B29" s="3"/>
      <c r="C29" s="3"/>
      <c r="D29" s="3"/>
      <c r="E29" s="3"/>
      <c r="F29" s="3"/>
      <c r="G29" s="3"/>
      <c r="H29" s="8"/>
      <c r="I29" s="1"/>
    </row>
    <row r="30" spans="1:9" x14ac:dyDescent="0.3">
      <c r="A30" s="19"/>
      <c r="B30" s="3"/>
      <c r="C30" s="3"/>
      <c r="D30" s="3"/>
      <c r="E30" s="3"/>
      <c r="F30" s="3"/>
      <c r="G30" s="3"/>
      <c r="H30" s="8"/>
      <c r="I30" s="1"/>
    </row>
    <row r="31" spans="1:9" x14ac:dyDescent="0.3">
      <c r="A31" s="19"/>
      <c r="B31" s="3"/>
      <c r="C31" s="3"/>
      <c r="D31" s="3"/>
      <c r="E31" s="3"/>
      <c r="F31" s="3"/>
      <c r="G31" s="3"/>
      <c r="H31" s="8"/>
      <c r="I31" s="1"/>
    </row>
    <row r="32" spans="1:9" x14ac:dyDescent="0.3">
      <c r="A32" s="19"/>
      <c r="B32" s="3"/>
      <c r="C32" s="3"/>
      <c r="D32" s="3"/>
      <c r="E32" s="3"/>
      <c r="F32" s="3"/>
      <c r="G32" s="3"/>
      <c r="H32" s="8"/>
      <c r="I32" s="1"/>
    </row>
    <row r="33" spans="1:9" x14ac:dyDescent="0.3">
      <c r="A33" s="19"/>
      <c r="B33" s="3"/>
      <c r="C33" s="3"/>
      <c r="D33" s="3"/>
      <c r="E33" s="3"/>
      <c r="F33" s="3"/>
      <c r="G33" s="3"/>
      <c r="H33" s="8"/>
      <c r="I33" s="1"/>
    </row>
    <row r="34" spans="1:9" x14ac:dyDescent="0.3">
      <c r="A34" s="19"/>
      <c r="B34" s="3"/>
      <c r="C34" s="3"/>
      <c r="D34" s="3"/>
      <c r="E34" s="3"/>
      <c r="F34" s="3"/>
      <c r="G34" s="3"/>
      <c r="H34" s="8"/>
      <c r="I34" s="1"/>
    </row>
    <row r="35" spans="1:9" x14ac:dyDescent="0.3">
      <c r="A35" s="19"/>
      <c r="B35" s="3"/>
      <c r="C35" s="3"/>
      <c r="D35" s="3"/>
      <c r="E35" s="3"/>
      <c r="F35" s="3"/>
      <c r="G35" s="3"/>
      <c r="H35" s="8"/>
      <c r="I35" s="1"/>
    </row>
    <row r="36" spans="1:9" x14ac:dyDescent="0.3">
      <c r="A36" s="19"/>
      <c r="B36" s="3"/>
      <c r="C36" s="3"/>
      <c r="D36" s="3"/>
      <c r="E36" s="3"/>
      <c r="F36" s="3"/>
      <c r="G36" s="3"/>
      <c r="H36" s="8"/>
      <c r="I36" s="1"/>
    </row>
    <row r="37" spans="1:9" x14ac:dyDescent="0.3">
      <c r="A37" s="19"/>
      <c r="B37" s="3"/>
      <c r="C37" s="3"/>
      <c r="D37" s="3"/>
      <c r="E37" s="3"/>
      <c r="F37" s="3"/>
      <c r="G37" s="3"/>
      <c r="H37" s="8"/>
      <c r="I37" s="1"/>
    </row>
    <row r="38" spans="1:9" x14ac:dyDescent="0.3">
      <c r="A38" s="19"/>
      <c r="B38" s="3"/>
      <c r="C38" s="3"/>
      <c r="D38" s="3"/>
      <c r="E38" s="3"/>
      <c r="F38" s="3"/>
      <c r="G38" s="3"/>
      <c r="H38" s="8"/>
      <c r="I38" s="1"/>
    </row>
    <row r="39" spans="1:9" x14ac:dyDescent="0.3">
      <c r="A39" s="19"/>
      <c r="B39" s="3"/>
      <c r="C39" s="3"/>
      <c r="D39" s="3"/>
      <c r="E39" s="3"/>
      <c r="F39" s="3"/>
      <c r="G39" s="3"/>
      <c r="H39" s="8"/>
      <c r="I39" s="1"/>
    </row>
    <row r="40" spans="1:9" x14ac:dyDescent="0.3">
      <c r="A40" s="19"/>
      <c r="B40" s="3"/>
      <c r="C40" s="3"/>
      <c r="D40" s="3"/>
      <c r="E40" s="3"/>
      <c r="F40" s="3"/>
      <c r="G40" s="3"/>
      <c r="H40" s="8"/>
      <c r="I40" s="1"/>
    </row>
    <row r="41" spans="1:9" x14ac:dyDescent="0.3">
      <c r="A41" s="19"/>
      <c r="B41" s="3"/>
      <c r="C41" s="3"/>
      <c r="D41" s="3"/>
      <c r="E41" s="3"/>
      <c r="F41" s="3"/>
      <c r="G41" s="3"/>
      <c r="H41" s="8"/>
      <c r="I41" s="1"/>
    </row>
    <row r="42" spans="1:9" x14ac:dyDescent="0.3">
      <c r="A42" s="19"/>
      <c r="B42" s="3"/>
      <c r="C42" s="3"/>
      <c r="D42" s="3"/>
      <c r="E42" s="3"/>
      <c r="F42" s="3"/>
      <c r="G42" s="3"/>
      <c r="H42" s="8"/>
      <c r="I42" s="1"/>
    </row>
    <row r="43" spans="1:9" x14ac:dyDescent="0.3">
      <c r="A43" s="19"/>
      <c r="B43" s="3"/>
      <c r="C43" s="3"/>
      <c r="D43" s="3"/>
      <c r="E43" s="3"/>
      <c r="F43" s="3"/>
      <c r="G43" s="3"/>
      <c r="H43" s="8"/>
      <c r="I43" s="1"/>
    </row>
    <row r="44" spans="1:9" x14ac:dyDescent="0.3">
      <c r="A44" s="19"/>
      <c r="B44" s="3"/>
      <c r="C44" s="3"/>
      <c r="D44" s="3"/>
      <c r="E44" s="3"/>
      <c r="F44" s="3"/>
      <c r="G44" s="3"/>
      <c r="H44" s="8"/>
      <c r="I44" s="1"/>
    </row>
    <row r="45" spans="1:9" x14ac:dyDescent="0.3">
      <c r="A45" s="19"/>
      <c r="B45" s="3"/>
      <c r="C45" s="3"/>
      <c r="D45" s="3"/>
      <c r="E45" s="3"/>
      <c r="F45" s="3"/>
      <c r="G45" s="3"/>
      <c r="H45" s="8"/>
      <c r="I45" s="1"/>
    </row>
    <row r="46" spans="1:9" x14ac:dyDescent="0.3">
      <c r="A46" s="19"/>
      <c r="B46" s="3"/>
      <c r="C46" s="3"/>
      <c r="D46" s="3"/>
      <c r="E46" s="3"/>
      <c r="F46" s="3"/>
      <c r="G46" s="3"/>
      <c r="H46" s="8"/>
      <c r="I46" s="1"/>
    </row>
    <row r="47" spans="1:9" x14ac:dyDescent="0.3">
      <c r="A47" s="19"/>
      <c r="B47" s="3"/>
      <c r="C47" s="3"/>
      <c r="D47" s="3"/>
      <c r="E47" s="3"/>
      <c r="F47" s="3"/>
      <c r="G47" s="3"/>
      <c r="H47" s="8"/>
      <c r="I47" s="1"/>
    </row>
    <row r="48" spans="1:9" x14ac:dyDescent="0.3">
      <c r="A48" s="19"/>
      <c r="B48" s="3"/>
      <c r="C48" s="3"/>
      <c r="D48" s="3"/>
      <c r="E48" s="3"/>
      <c r="F48" s="3"/>
      <c r="G48" s="3"/>
      <c r="H48" s="8"/>
      <c r="I48" s="1"/>
    </row>
    <row r="49" spans="1:9" x14ac:dyDescent="0.3">
      <c r="A49" s="19"/>
      <c r="B49" s="3"/>
      <c r="C49" s="3"/>
      <c r="D49" s="3"/>
      <c r="E49" s="3"/>
      <c r="F49" s="3"/>
      <c r="G49" s="3"/>
      <c r="H49" s="8"/>
      <c r="I49" s="1"/>
    </row>
    <row r="50" spans="1:9" x14ac:dyDescent="0.3">
      <c r="A50" s="19"/>
      <c r="B50" s="3"/>
      <c r="C50" s="3"/>
      <c r="D50" s="3"/>
      <c r="E50" s="3"/>
      <c r="F50" s="3"/>
      <c r="G50" s="3"/>
      <c r="H50" s="8"/>
      <c r="I50" s="1"/>
    </row>
    <row r="51" spans="1:9" x14ac:dyDescent="0.3">
      <c r="A51" s="19"/>
      <c r="B51" s="3"/>
      <c r="C51" s="3"/>
      <c r="D51" s="3"/>
      <c r="E51" s="3"/>
      <c r="F51" s="3"/>
      <c r="G51" s="3"/>
      <c r="H51" s="8"/>
      <c r="I51" s="1"/>
    </row>
    <row r="52" spans="1:9" x14ac:dyDescent="0.3">
      <c r="A52" s="19"/>
      <c r="B52" s="3"/>
      <c r="C52" s="3"/>
      <c r="D52" s="3"/>
      <c r="E52" s="3"/>
      <c r="F52" s="3"/>
      <c r="G52" s="3"/>
      <c r="H52" s="8"/>
      <c r="I52" s="1"/>
    </row>
    <row r="53" spans="1:9" x14ac:dyDescent="0.3">
      <c r="A53" s="19"/>
      <c r="B53" s="3"/>
      <c r="C53" s="3"/>
      <c r="D53" s="3"/>
      <c r="E53" s="3"/>
      <c r="F53" s="3"/>
      <c r="G53" s="3"/>
      <c r="H53" s="8"/>
      <c r="I53" s="1"/>
    </row>
    <row r="54" spans="1:9" x14ac:dyDescent="0.3">
      <c r="A54" s="19"/>
      <c r="B54" s="3"/>
      <c r="C54" s="3"/>
      <c r="D54" s="3"/>
      <c r="E54" s="3"/>
      <c r="F54" s="3"/>
      <c r="G54" s="3"/>
      <c r="H54" s="8"/>
      <c r="I54" s="1"/>
    </row>
    <row r="55" spans="1:9" x14ac:dyDescent="0.3">
      <c r="A55" s="19"/>
      <c r="B55" s="3"/>
      <c r="C55" s="3"/>
      <c r="D55" s="3"/>
      <c r="E55" s="3"/>
      <c r="F55" s="3"/>
      <c r="G55" s="3"/>
      <c r="H55" s="8"/>
      <c r="I55" s="1"/>
    </row>
    <row r="56" spans="1:9" x14ac:dyDescent="0.3">
      <c r="A56" s="19"/>
      <c r="B56" s="3"/>
      <c r="C56" s="3"/>
      <c r="D56" s="3"/>
      <c r="E56" s="3"/>
      <c r="F56" s="3"/>
      <c r="G56" s="3"/>
      <c r="H56" s="8"/>
      <c r="I56" s="1"/>
    </row>
    <row r="57" spans="1:9" x14ac:dyDescent="0.3">
      <c r="A57" s="19"/>
      <c r="B57" s="3"/>
      <c r="C57" s="3"/>
      <c r="D57" s="3"/>
      <c r="E57" s="3"/>
      <c r="F57" s="3"/>
      <c r="G57" s="3"/>
      <c r="H57" s="8"/>
      <c r="I57" s="1"/>
    </row>
    <row r="58" spans="1:9" x14ac:dyDescent="0.3">
      <c r="A58" s="19"/>
      <c r="B58" s="3"/>
      <c r="C58" s="3"/>
      <c r="D58" s="3"/>
      <c r="E58" s="3"/>
      <c r="F58" s="3"/>
      <c r="G58" s="3"/>
      <c r="H58" s="8"/>
      <c r="I58" s="1"/>
    </row>
    <row r="59" spans="1:9" x14ac:dyDescent="0.3">
      <c r="A59" s="19"/>
      <c r="B59" s="3"/>
      <c r="C59" s="3"/>
      <c r="D59" s="3"/>
      <c r="E59" s="3"/>
      <c r="F59" s="3"/>
      <c r="G59" s="3"/>
      <c r="H59" s="8"/>
      <c r="I59" s="1"/>
    </row>
    <row r="60" spans="1:9" x14ac:dyDescent="0.3">
      <c r="A60" s="19"/>
      <c r="B60" s="3"/>
      <c r="C60" s="3"/>
      <c r="D60" s="3"/>
      <c r="E60" s="3"/>
      <c r="F60" s="3"/>
      <c r="G60" s="3"/>
      <c r="H60" s="8"/>
      <c r="I60" s="1"/>
    </row>
    <row r="61" spans="1:9" x14ac:dyDescent="0.3">
      <c r="A61" s="19"/>
      <c r="B61" s="3"/>
      <c r="C61" s="3"/>
      <c r="D61" s="3"/>
      <c r="E61" s="3"/>
      <c r="F61" s="3"/>
      <c r="G61" s="3"/>
      <c r="H61" s="8"/>
      <c r="I61" s="1"/>
    </row>
    <row r="62" spans="1:9" x14ac:dyDescent="0.3">
      <c r="A62" s="19"/>
      <c r="B62" s="3"/>
      <c r="C62" s="3"/>
      <c r="D62" s="3"/>
      <c r="E62" s="3"/>
      <c r="F62" s="3"/>
      <c r="G62" s="3"/>
      <c r="H62" s="8"/>
      <c r="I62" s="1"/>
    </row>
    <row r="63" spans="1:9" x14ac:dyDescent="0.3">
      <c r="A63" s="19"/>
      <c r="B63" s="3"/>
      <c r="C63" s="3"/>
      <c r="D63" s="3"/>
      <c r="E63" s="3"/>
      <c r="F63" s="3"/>
      <c r="G63" s="3"/>
      <c r="H63" s="8"/>
      <c r="I63" s="1"/>
    </row>
    <row r="64" spans="1:9" x14ac:dyDescent="0.3">
      <c r="A64" s="19"/>
      <c r="B64" s="3"/>
      <c r="C64" s="3"/>
      <c r="D64" s="3"/>
      <c r="E64" s="3"/>
      <c r="F64" s="3"/>
      <c r="G64" s="3"/>
      <c r="H64" s="8"/>
      <c r="I64" s="1"/>
    </row>
    <row r="65" spans="1:9" x14ac:dyDescent="0.3">
      <c r="A65" s="19"/>
      <c r="B65" s="3"/>
      <c r="C65" s="3"/>
      <c r="D65" s="3"/>
      <c r="E65" s="3"/>
      <c r="F65" s="3"/>
      <c r="G65" s="3"/>
      <c r="H65" s="8"/>
      <c r="I65" s="1"/>
    </row>
    <row r="66" spans="1:9" x14ac:dyDescent="0.3">
      <c r="A66" s="19"/>
      <c r="B66" s="3"/>
      <c r="C66" s="3"/>
      <c r="D66" s="3"/>
      <c r="E66" s="3"/>
      <c r="F66" s="3"/>
      <c r="G66" s="3"/>
      <c r="H66" s="8"/>
      <c r="I66" s="1"/>
    </row>
    <row r="67" spans="1:9" x14ac:dyDescent="0.3">
      <c r="A67" s="19"/>
      <c r="B67" s="3"/>
      <c r="C67" s="3"/>
      <c r="D67" s="3"/>
      <c r="E67" s="3"/>
      <c r="F67" s="3"/>
      <c r="G67" s="3"/>
      <c r="H67" s="8"/>
      <c r="I67" s="1"/>
    </row>
    <row r="68" spans="1:9" x14ac:dyDescent="0.3">
      <c r="A68" s="19"/>
      <c r="B68" s="3"/>
      <c r="C68" s="3"/>
      <c r="D68" s="3"/>
      <c r="E68" s="3"/>
      <c r="F68" s="3"/>
      <c r="G68" s="3"/>
      <c r="H68" s="8"/>
      <c r="I68" s="1"/>
    </row>
    <row r="69" spans="1:9" x14ac:dyDescent="0.3">
      <c r="A69" s="19"/>
      <c r="B69" s="3"/>
      <c r="C69" s="3"/>
      <c r="D69" s="3"/>
      <c r="E69" s="3"/>
      <c r="F69" s="3"/>
      <c r="G69" s="3"/>
      <c r="H69" s="8"/>
      <c r="I69" s="1"/>
    </row>
    <row r="70" spans="1:9" x14ac:dyDescent="0.3">
      <c r="A70" s="19"/>
      <c r="B70" s="3"/>
      <c r="C70" s="3"/>
      <c r="D70" s="3"/>
      <c r="E70" s="3"/>
      <c r="F70" s="3"/>
      <c r="G70" s="3"/>
      <c r="H70" s="8"/>
      <c r="I70" s="1"/>
    </row>
    <row r="71" spans="1:9" x14ac:dyDescent="0.3">
      <c r="A71" s="19"/>
      <c r="B71" s="3"/>
      <c r="C71" s="3"/>
      <c r="D71" s="3"/>
      <c r="E71" s="3"/>
      <c r="F71" s="3"/>
      <c r="G71" s="3"/>
      <c r="H71" s="8"/>
      <c r="I71" s="1"/>
    </row>
    <row r="72" spans="1:9" x14ac:dyDescent="0.3">
      <c r="A72" s="19"/>
      <c r="B72" s="3"/>
      <c r="C72" s="3"/>
      <c r="D72" s="3"/>
      <c r="E72" s="3"/>
      <c r="F72" s="3"/>
      <c r="G72" s="3"/>
      <c r="H72" s="8"/>
      <c r="I72" s="1"/>
    </row>
    <row r="73" spans="1:9" x14ac:dyDescent="0.3">
      <c r="A73" s="19"/>
      <c r="B73" s="3"/>
      <c r="C73" s="3"/>
      <c r="D73" s="3"/>
      <c r="E73" s="3"/>
      <c r="F73" s="3"/>
      <c r="G73" s="3"/>
      <c r="H73" s="8"/>
      <c r="I73" s="1"/>
    </row>
    <row r="74" spans="1:9" x14ac:dyDescent="0.3">
      <c r="A74" s="19"/>
      <c r="B74" s="3"/>
      <c r="C74" s="3"/>
      <c r="D74" s="3"/>
      <c r="E74" s="3"/>
      <c r="F74" s="3"/>
      <c r="G74" s="3"/>
      <c r="H74" s="8"/>
      <c r="I74" s="1"/>
    </row>
    <row r="75" spans="1:9" x14ac:dyDescent="0.3">
      <c r="A75" s="19"/>
      <c r="B75" s="3"/>
      <c r="C75" s="3"/>
      <c r="D75" s="3"/>
      <c r="E75" s="3"/>
      <c r="F75" s="3"/>
      <c r="G75" s="3"/>
      <c r="H75" s="8"/>
      <c r="I75" s="1"/>
    </row>
    <row r="76" spans="1:9" x14ac:dyDescent="0.3">
      <c r="A76" s="19"/>
      <c r="B76" s="3"/>
      <c r="C76" s="3"/>
      <c r="D76" s="3"/>
      <c r="E76" s="3"/>
      <c r="F76" s="3"/>
      <c r="G76" s="3"/>
      <c r="H76" s="8"/>
      <c r="I76" s="1"/>
    </row>
    <row r="77" spans="1:9" x14ac:dyDescent="0.3">
      <c r="A77" s="19"/>
      <c r="B77" s="3"/>
      <c r="C77" s="3"/>
      <c r="D77" s="3"/>
      <c r="E77" s="3"/>
      <c r="F77" s="3"/>
      <c r="G77" s="3"/>
      <c r="H77" s="8"/>
      <c r="I77" s="1"/>
    </row>
    <row r="78" spans="1:9" x14ac:dyDescent="0.3">
      <c r="A78" s="19"/>
      <c r="B78" s="3"/>
      <c r="C78" s="3"/>
      <c r="D78" s="3"/>
      <c r="E78" s="3"/>
      <c r="F78" s="3"/>
      <c r="G78" s="3"/>
      <c r="H78" s="8"/>
      <c r="I78" s="1"/>
    </row>
    <row r="79" spans="1:9" x14ac:dyDescent="0.3">
      <c r="A79" s="19"/>
      <c r="B79" s="3"/>
      <c r="C79" s="3"/>
      <c r="D79" s="3"/>
      <c r="E79" s="3"/>
      <c r="F79" s="3"/>
      <c r="G79" s="3"/>
      <c r="H79" s="8"/>
      <c r="I79" s="1"/>
    </row>
    <row r="80" spans="1:9" x14ac:dyDescent="0.3">
      <c r="A80" s="19"/>
      <c r="B80" s="3"/>
      <c r="C80" s="3"/>
      <c r="D80" s="3"/>
      <c r="E80" s="3"/>
      <c r="F80" s="3"/>
      <c r="G80" s="3"/>
      <c r="H80" s="8"/>
      <c r="I80" s="1"/>
    </row>
    <row r="81" spans="1:9" x14ac:dyDescent="0.3">
      <c r="A81" s="19"/>
      <c r="B81" s="3"/>
      <c r="C81" s="3"/>
      <c r="D81" s="3"/>
      <c r="E81" s="3"/>
      <c r="F81" s="3"/>
      <c r="G81" s="3"/>
      <c r="H81" s="8"/>
      <c r="I81" s="1"/>
    </row>
    <row r="82" spans="1:9" x14ac:dyDescent="0.3">
      <c r="A82" s="19"/>
      <c r="B82" s="3"/>
      <c r="C82" s="3"/>
      <c r="D82" s="3"/>
      <c r="E82" s="3"/>
      <c r="F82" s="3"/>
      <c r="G82" s="3"/>
      <c r="H82" s="8"/>
      <c r="I82" s="1"/>
    </row>
    <row r="83" spans="1:9" x14ac:dyDescent="0.3">
      <c r="A83" s="19"/>
      <c r="B83" s="3"/>
      <c r="C83" s="3"/>
      <c r="D83" s="3"/>
      <c r="E83" s="3"/>
      <c r="F83" s="3"/>
      <c r="G83" s="3"/>
      <c r="H83" s="8"/>
      <c r="I83" s="1"/>
    </row>
    <row r="84" spans="1:9" x14ac:dyDescent="0.3">
      <c r="A84" s="19"/>
      <c r="B84" s="3"/>
      <c r="C84" s="3"/>
      <c r="D84" s="3"/>
      <c r="E84" s="3"/>
      <c r="F84" s="3"/>
      <c r="G84" s="3"/>
      <c r="H84" s="8"/>
      <c r="I84" s="1"/>
    </row>
    <row r="85" spans="1:9" x14ac:dyDescent="0.3">
      <c r="A85" s="19"/>
      <c r="B85" s="3"/>
      <c r="C85" s="3"/>
      <c r="D85" s="3"/>
      <c r="E85" s="3"/>
      <c r="F85" s="3"/>
      <c r="G85" s="3"/>
      <c r="H85" s="8"/>
      <c r="I85" s="1"/>
    </row>
    <row r="86" spans="1:9" x14ac:dyDescent="0.3">
      <c r="A86" s="19"/>
      <c r="B86" s="3"/>
      <c r="C86" s="3"/>
      <c r="D86" s="3"/>
      <c r="E86" s="3"/>
      <c r="F86" s="3"/>
      <c r="G86" s="3"/>
      <c r="H86" s="8"/>
      <c r="I86" s="1"/>
    </row>
    <row r="87" spans="1:9" x14ac:dyDescent="0.3">
      <c r="A87" s="19"/>
      <c r="B87" s="3"/>
      <c r="C87" s="3"/>
      <c r="D87" s="3"/>
      <c r="E87" s="3"/>
      <c r="F87" s="3"/>
      <c r="G87" s="3"/>
      <c r="H87" s="8"/>
      <c r="I87" s="1"/>
    </row>
    <row r="88" spans="1:9" x14ac:dyDescent="0.3">
      <c r="A88" s="19"/>
      <c r="B88" s="3"/>
      <c r="C88" s="3"/>
      <c r="D88" s="3"/>
      <c r="E88" s="3"/>
      <c r="F88" s="3"/>
      <c r="G88" s="3"/>
      <c r="H88" s="8"/>
      <c r="I88" s="1"/>
    </row>
    <row r="89" spans="1:9" x14ac:dyDescent="0.3">
      <c r="A89" s="19"/>
      <c r="B89" s="3"/>
      <c r="C89" s="3"/>
      <c r="D89" s="3"/>
      <c r="E89" s="3"/>
      <c r="F89" s="3"/>
      <c r="G89" s="3"/>
      <c r="H89" s="8"/>
      <c r="I89" s="1"/>
    </row>
    <row r="90" spans="1:9" x14ac:dyDescent="0.3">
      <c r="A90" s="19"/>
      <c r="B90" s="3"/>
      <c r="C90" s="3"/>
      <c r="D90" s="3"/>
      <c r="E90" s="3"/>
      <c r="F90" s="3"/>
      <c r="G90" s="3"/>
      <c r="H90" s="8"/>
      <c r="I90" s="1"/>
    </row>
    <row r="91" spans="1:9" x14ac:dyDescent="0.3">
      <c r="A91" s="19"/>
      <c r="B91" s="3"/>
      <c r="C91" s="3"/>
      <c r="D91" s="3"/>
      <c r="E91" s="3"/>
      <c r="F91" s="3"/>
      <c r="G91" s="3"/>
      <c r="H91" s="8"/>
      <c r="I91" s="1"/>
    </row>
    <row r="92" spans="1:9" x14ac:dyDescent="0.3">
      <c r="A92" s="19"/>
      <c r="B92" s="3"/>
      <c r="C92" s="3"/>
      <c r="D92" s="3"/>
      <c r="E92" s="3"/>
      <c r="F92" s="3"/>
      <c r="G92" s="3"/>
      <c r="H92" s="8"/>
      <c r="I92" s="1"/>
    </row>
    <row r="93" spans="1:9" x14ac:dyDescent="0.3">
      <c r="A93" s="19"/>
      <c r="B93" s="3"/>
      <c r="C93" s="3"/>
      <c r="D93" s="3"/>
      <c r="E93" s="3"/>
      <c r="F93" s="3"/>
      <c r="G93" s="3"/>
      <c r="H93" s="8"/>
      <c r="I93" s="1"/>
    </row>
    <row r="94" spans="1:9" x14ac:dyDescent="0.3">
      <c r="A94" s="19"/>
      <c r="B94" s="3"/>
      <c r="C94" s="3"/>
      <c r="D94" s="3"/>
      <c r="E94" s="3"/>
      <c r="F94" s="3"/>
      <c r="G94" s="3"/>
      <c r="H94" s="8"/>
      <c r="I94" s="1"/>
    </row>
    <row r="95" spans="1:9" x14ac:dyDescent="0.3">
      <c r="A95" s="19"/>
      <c r="B95" s="3"/>
      <c r="C95" s="3"/>
      <c r="D95" s="3"/>
      <c r="E95" s="3"/>
      <c r="F95" s="3"/>
      <c r="G95" s="3"/>
      <c r="H95" s="8"/>
      <c r="I95" s="1"/>
    </row>
    <row r="96" spans="1:9" x14ac:dyDescent="0.3">
      <c r="A96" s="19"/>
      <c r="B96" s="3"/>
      <c r="C96" s="3"/>
      <c r="D96" s="3"/>
      <c r="E96" s="3"/>
      <c r="F96" s="3"/>
      <c r="G96" s="3"/>
      <c r="H96" s="8"/>
      <c r="I96" s="1"/>
    </row>
    <row r="97" spans="1:9" x14ac:dyDescent="0.3">
      <c r="A97" s="19"/>
      <c r="B97" s="3"/>
      <c r="C97" s="3"/>
      <c r="D97" s="3"/>
      <c r="E97" s="3"/>
      <c r="F97" s="3"/>
      <c r="G97" s="3"/>
      <c r="H97" s="8"/>
      <c r="I97" s="1"/>
    </row>
    <row r="98" spans="1:9" x14ac:dyDescent="0.3">
      <c r="A98" s="19"/>
      <c r="B98" s="3"/>
      <c r="C98" s="3"/>
      <c r="D98" s="3"/>
      <c r="E98" s="3"/>
      <c r="F98" s="3"/>
      <c r="G98" s="3"/>
      <c r="H98" s="8"/>
      <c r="I98" s="1"/>
    </row>
    <row r="99" spans="1:9" x14ac:dyDescent="0.3">
      <c r="A99" s="19"/>
      <c r="B99" s="3"/>
      <c r="C99" s="3"/>
      <c r="D99" s="3"/>
      <c r="E99" s="3"/>
      <c r="F99" s="3"/>
      <c r="G99" s="3"/>
      <c r="H99" s="8"/>
      <c r="I99" s="1"/>
    </row>
    <row r="100" spans="1:9" x14ac:dyDescent="0.3">
      <c r="A100" s="19"/>
      <c r="B100" s="3"/>
      <c r="C100" s="3"/>
      <c r="D100" s="3"/>
      <c r="E100" s="3"/>
      <c r="F100" s="3"/>
      <c r="G100" s="3"/>
      <c r="H100" s="8"/>
      <c r="I100" s="1"/>
    </row>
    <row r="101" spans="1:9" x14ac:dyDescent="0.3">
      <c r="A101" s="19"/>
      <c r="B101" s="3"/>
      <c r="C101" s="3"/>
      <c r="D101" s="3"/>
      <c r="E101" s="3"/>
      <c r="F101" s="3"/>
      <c r="G101" s="3"/>
      <c r="H101" s="8"/>
      <c r="I101" s="1"/>
    </row>
    <row r="102" spans="1:9" x14ac:dyDescent="0.3">
      <c r="A102" s="19"/>
      <c r="B102" s="3"/>
      <c r="C102" s="3"/>
      <c r="D102" s="3"/>
      <c r="E102" s="3"/>
      <c r="F102" s="3"/>
      <c r="G102" s="3"/>
      <c r="H102" s="8"/>
      <c r="I102" s="1"/>
    </row>
    <row r="103" spans="1:9" x14ac:dyDescent="0.3">
      <c r="A103" s="19"/>
      <c r="B103" s="3"/>
      <c r="C103" s="3"/>
      <c r="D103" s="3"/>
      <c r="E103" s="3"/>
      <c r="F103" s="3"/>
      <c r="G103" s="3"/>
      <c r="H103" s="8"/>
      <c r="I103" s="1"/>
    </row>
    <row r="104" spans="1:9" x14ac:dyDescent="0.3">
      <c r="A104" s="19"/>
      <c r="B104" s="3"/>
      <c r="C104" s="3"/>
      <c r="D104" s="3"/>
      <c r="E104" s="3"/>
      <c r="F104" s="3"/>
      <c r="G104" s="3"/>
      <c r="H104" s="8"/>
      <c r="I104" s="1"/>
    </row>
    <row r="105" spans="1:9" x14ac:dyDescent="0.3">
      <c r="A105" s="19"/>
      <c r="B105" s="3"/>
      <c r="C105" s="3"/>
      <c r="D105" s="3"/>
      <c r="E105" s="3"/>
      <c r="F105" s="3"/>
      <c r="G105" s="3"/>
      <c r="H105" s="8"/>
      <c r="I105" s="1"/>
    </row>
    <row r="106" spans="1:9" x14ac:dyDescent="0.3">
      <c r="A106" s="19"/>
      <c r="B106" s="3"/>
      <c r="C106" s="3"/>
      <c r="D106" s="3"/>
      <c r="E106" s="3"/>
      <c r="F106" s="3"/>
      <c r="G106" s="3"/>
      <c r="H106" s="8"/>
      <c r="I106" s="1"/>
    </row>
    <row r="107" spans="1:9" x14ac:dyDescent="0.3">
      <c r="A107" s="19"/>
      <c r="B107" s="3"/>
      <c r="C107" s="3"/>
      <c r="D107" s="3"/>
      <c r="E107" s="3"/>
      <c r="F107" s="3"/>
      <c r="G107" s="3"/>
      <c r="H107" s="8"/>
      <c r="I107" s="1"/>
    </row>
    <row r="108" spans="1:9" x14ac:dyDescent="0.3">
      <c r="A108" s="19"/>
      <c r="B108" s="3"/>
      <c r="C108" s="3"/>
      <c r="D108" s="3"/>
      <c r="E108" s="3"/>
      <c r="F108" s="3"/>
      <c r="G108" s="3"/>
      <c r="H108" s="8"/>
      <c r="I108" s="1"/>
    </row>
    <row r="109" spans="1:9" x14ac:dyDescent="0.3">
      <c r="A109" s="19"/>
      <c r="B109" s="3"/>
      <c r="C109" s="3"/>
      <c r="D109" s="3"/>
      <c r="E109" s="3"/>
      <c r="F109" s="3"/>
      <c r="G109" s="3"/>
      <c r="H109" s="8"/>
      <c r="I109" s="1"/>
    </row>
    <row r="110" spans="1:9" x14ac:dyDescent="0.3">
      <c r="A110" s="19"/>
      <c r="B110" s="3"/>
      <c r="C110" s="3"/>
      <c r="D110" s="3"/>
      <c r="E110" s="3"/>
      <c r="F110" s="3"/>
      <c r="G110" s="3"/>
      <c r="H110" s="8"/>
      <c r="I110" s="1"/>
    </row>
    <row r="111" spans="1:9" x14ac:dyDescent="0.3">
      <c r="A111" s="19"/>
      <c r="B111" s="3"/>
      <c r="C111" s="3"/>
      <c r="D111" s="3"/>
      <c r="E111" s="3"/>
      <c r="F111" s="3"/>
      <c r="G111" s="3"/>
      <c r="H111" s="8"/>
      <c r="I111" s="1"/>
    </row>
    <row r="112" spans="1:9" x14ac:dyDescent="0.3">
      <c r="A112" s="19"/>
      <c r="B112" s="3"/>
      <c r="C112" s="3"/>
      <c r="D112" s="3"/>
      <c r="E112" s="3"/>
      <c r="F112" s="3"/>
      <c r="G112" s="3"/>
      <c r="H112" s="8"/>
      <c r="I112" s="1"/>
    </row>
    <row r="113" spans="1:9" x14ac:dyDescent="0.3">
      <c r="A113" s="19"/>
      <c r="B113" s="3"/>
      <c r="C113" s="3"/>
      <c r="D113" s="3"/>
      <c r="E113" s="3"/>
      <c r="F113" s="3"/>
      <c r="G113" s="3"/>
      <c r="H113" s="8"/>
      <c r="I113" s="1"/>
    </row>
    <row r="114" spans="1:9" x14ac:dyDescent="0.3">
      <c r="A114" s="19"/>
      <c r="B114" s="3"/>
      <c r="C114" s="3"/>
      <c r="D114" s="3"/>
      <c r="E114" s="3"/>
      <c r="F114" s="3"/>
      <c r="G114" s="3"/>
      <c r="H114" s="8"/>
      <c r="I114" s="1"/>
    </row>
    <row r="115" spans="1:9" x14ac:dyDescent="0.3">
      <c r="A115" s="19"/>
      <c r="B115" s="3"/>
      <c r="C115" s="3"/>
      <c r="D115" s="3"/>
      <c r="E115" s="3"/>
      <c r="F115" s="3"/>
      <c r="G115" s="3"/>
      <c r="H115" s="8"/>
      <c r="I115" s="1"/>
    </row>
    <row r="116" spans="1:9" x14ac:dyDescent="0.3">
      <c r="A116" s="19"/>
      <c r="B116" s="3"/>
      <c r="C116" s="3"/>
      <c r="D116" s="3"/>
      <c r="E116" s="3"/>
      <c r="F116" s="3"/>
      <c r="G116" s="3"/>
      <c r="H116" s="8"/>
      <c r="I116" s="1"/>
    </row>
    <row r="117" spans="1:9" x14ac:dyDescent="0.3">
      <c r="A117" s="19"/>
      <c r="B117" s="3"/>
      <c r="C117" s="3"/>
      <c r="D117" s="3"/>
      <c r="E117" s="3"/>
      <c r="F117" s="3"/>
      <c r="G117" s="3"/>
      <c r="H117" s="8"/>
      <c r="I117" s="1"/>
    </row>
    <row r="118" spans="1:9" x14ac:dyDescent="0.3">
      <c r="A118" s="19"/>
      <c r="B118" s="3"/>
      <c r="C118" s="3"/>
      <c r="D118" s="3"/>
      <c r="E118" s="3"/>
      <c r="F118" s="3"/>
      <c r="G118" s="3"/>
      <c r="H118" s="8"/>
      <c r="I118" s="1"/>
    </row>
    <row r="119" spans="1:9" x14ac:dyDescent="0.3">
      <c r="A119" s="19"/>
      <c r="B119" s="3"/>
      <c r="C119" s="3"/>
      <c r="D119" s="3"/>
      <c r="E119" s="3"/>
      <c r="F119" s="3"/>
      <c r="G119" s="3"/>
      <c r="H119" s="8"/>
      <c r="I119" s="1"/>
    </row>
    <row r="120" spans="1:9" x14ac:dyDescent="0.3">
      <c r="A120" s="19"/>
      <c r="B120" s="3"/>
      <c r="C120" s="3"/>
      <c r="D120" s="3"/>
      <c r="E120" s="3"/>
      <c r="F120" s="3"/>
      <c r="G120" s="3"/>
      <c r="H120" s="8"/>
      <c r="I120" s="1"/>
    </row>
    <row r="121" spans="1:9" x14ac:dyDescent="0.3">
      <c r="A121" s="19"/>
      <c r="B121" s="3"/>
      <c r="C121" s="3"/>
      <c r="D121" s="3"/>
      <c r="E121" s="3"/>
      <c r="F121" s="3"/>
      <c r="G121" s="3"/>
      <c r="H121" s="8"/>
      <c r="I121" s="1"/>
    </row>
    <row r="122" spans="1:9" x14ac:dyDescent="0.3">
      <c r="A122" s="19"/>
      <c r="B122" s="3"/>
      <c r="C122" s="3"/>
      <c r="D122" s="3"/>
      <c r="E122" s="3"/>
      <c r="F122" s="3"/>
      <c r="G122" s="3"/>
      <c r="H122" s="8"/>
      <c r="I122" s="1"/>
    </row>
    <row r="123" spans="1:9" x14ac:dyDescent="0.3">
      <c r="A123" s="19"/>
      <c r="B123" s="3"/>
      <c r="C123" s="3"/>
      <c r="D123" s="3"/>
      <c r="E123" s="3"/>
      <c r="F123" s="3"/>
      <c r="G123" s="3"/>
      <c r="H123" s="8"/>
      <c r="I123" s="1"/>
    </row>
    <row r="124" spans="1:9" x14ac:dyDescent="0.3">
      <c r="A124" s="19"/>
      <c r="B124" s="3"/>
      <c r="C124" s="3"/>
      <c r="D124" s="3"/>
      <c r="E124" s="3"/>
      <c r="F124" s="3"/>
      <c r="G124" s="3"/>
      <c r="H124" s="8"/>
      <c r="I124" s="1"/>
    </row>
    <row r="125" spans="1:9" x14ac:dyDescent="0.3">
      <c r="A125" s="19"/>
      <c r="B125" s="3"/>
      <c r="C125" s="3"/>
      <c r="D125" s="3"/>
      <c r="E125" s="3"/>
      <c r="F125" s="3"/>
      <c r="G125" s="3"/>
      <c r="H125" s="8"/>
      <c r="I125" s="1"/>
    </row>
    <row r="126" spans="1:9" x14ac:dyDescent="0.3">
      <c r="A126" s="19"/>
      <c r="B126" s="3"/>
      <c r="C126" s="3"/>
      <c r="D126" s="3"/>
      <c r="E126" s="3"/>
      <c r="F126" s="3"/>
      <c r="G126" s="3"/>
      <c r="H126" s="8"/>
      <c r="I126" s="1"/>
    </row>
    <row r="127" spans="1:9" x14ac:dyDescent="0.3">
      <c r="A127" s="19"/>
      <c r="B127" s="3"/>
      <c r="C127" s="3"/>
      <c r="D127" s="3"/>
      <c r="E127" s="3"/>
      <c r="F127" s="3"/>
      <c r="G127" s="3"/>
      <c r="H127" s="8"/>
      <c r="I127" s="1"/>
    </row>
    <row r="128" spans="1:9" x14ac:dyDescent="0.3">
      <c r="A128" s="19"/>
      <c r="B128" s="3"/>
      <c r="C128" s="3"/>
      <c r="D128" s="3"/>
      <c r="E128" s="3"/>
      <c r="F128" s="3"/>
      <c r="G128" s="3"/>
      <c r="H128" s="8"/>
      <c r="I128" s="1"/>
    </row>
    <row r="129" spans="1:9" x14ac:dyDescent="0.3">
      <c r="A129" s="19"/>
      <c r="B129" s="3"/>
      <c r="C129" s="3"/>
      <c r="D129" s="3"/>
      <c r="E129" s="3"/>
      <c r="F129" s="3"/>
      <c r="G129" s="3"/>
      <c r="H129" s="8"/>
      <c r="I129" s="1"/>
    </row>
    <row r="130" spans="1:9" x14ac:dyDescent="0.3">
      <c r="A130" s="19"/>
      <c r="B130" s="3"/>
      <c r="C130" s="3"/>
      <c r="D130" s="3"/>
      <c r="E130" s="3"/>
      <c r="F130" s="3"/>
      <c r="G130" s="3"/>
      <c r="H130" s="8"/>
      <c r="I130" s="1"/>
    </row>
    <row r="131" spans="1:9" x14ac:dyDescent="0.3">
      <c r="A131" s="19"/>
      <c r="B131" s="3"/>
      <c r="C131" s="3"/>
      <c r="D131" s="3"/>
      <c r="E131" s="3"/>
      <c r="F131" s="3"/>
      <c r="G131" s="3"/>
      <c r="H131" s="8"/>
      <c r="I131" s="1"/>
    </row>
    <row r="132" spans="1:9" x14ac:dyDescent="0.3">
      <c r="A132" s="19"/>
      <c r="B132" s="3"/>
      <c r="C132" s="3"/>
      <c r="D132" s="3"/>
      <c r="E132" s="3"/>
      <c r="F132" s="3"/>
      <c r="G132" s="3"/>
      <c r="H132" s="8"/>
      <c r="I132" s="1"/>
    </row>
    <row r="133" spans="1:9" x14ac:dyDescent="0.3">
      <c r="A133" s="19"/>
      <c r="B133" s="3"/>
      <c r="C133" s="3"/>
      <c r="D133" s="3"/>
      <c r="E133" s="3"/>
      <c r="F133" s="3"/>
      <c r="G133" s="3"/>
      <c r="H133" s="8"/>
      <c r="I133" s="1"/>
    </row>
    <row r="134" spans="1:9" x14ac:dyDescent="0.3">
      <c r="A134" s="19"/>
      <c r="B134" s="3"/>
      <c r="C134" s="3"/>
      <c r="D134" s="3"/>
      <c r="E134" s="3"/>
      <c r="F134" s="3"/>
      <c r="G134" s="3"/>
      <c r="H134" s="8"/>
      <c r="I134" s="1"/>
    </row>
    <row r="135" spans="1:9" x14ac:dyDescent="0.3">
      <c r="A135" s="19"/>
      <c r="B135" s="3"/>
      <c r="C135" s="3"/>
      <c r="D135" s="3"/>
      <c r="E135" s="3"/>
      <c r="F135" s="3"/>
      <c r="G135" s="3"/>
      <c r="H135" s="8"/>
      <c r="I135" s="1"/>
    </row>
    <row r="136" spans="1:9" x14ac:dyDescent="0.3">
      <c r="A136" s="19"/>
      <c r="B136" s="3"/>
      <c r="C136" s="3"/>
      <c r="D136" s="3"/>
      <c r="E136" s="3"/>
      <c r="F136" s="3"/>
      <c r="G136" s="3"/>
      <c r="H136" s="8"/>
      <c r="I136" s="1"/>
    </row>
    <row r="137" spans="1:9" x14ac:dyDescent="0.3">
      <c r="A137" s="19"/>
      <c r="B137" s="3"/>
      <c r="C137" s="3"/>
      <c r="D137" s="3"/>
      <c r="E137" s="3"/>
      <c r="F137" s="3"/>
      <c r="G137" s="3"/>
      <c r="H137" s="8"/>
      <c r="I137" s="1"/>
    </row>
    <row r="138" spans="1:9" x14ac:dyDescent="0.3">
      <c r="A138" s="19"/>
      <c r="B138" s="3"/>
      <c r="C138" s="3"/>
      <c r="D138" s="3"/>
      <c r="E138" s="3"/>
      <c r="F138" s="3"/>
      <c r="G138" s="3"/>
      <c r="H138" s="8"/>
      <c r="I138" s="1"/>
    </row>
    <row r="139" spans="1:9" x14ac:dyDescent="0.3">
      <c r="A139" s="19"/>
      <c r="B139" s="3"/>
      <c r="C139" s="3"/>
      <c r="D139" s="3"/>
      <c r="E139" s="3"/>
      <c r="F139" s="3"/>
      <c r="G139" s="3"/>
      <c r="H139" s="8"/>
      <c r="I139" s="1"/>
    </row>
    <row r="140" spans="1:9" x14ac:dyDescent="0.3">
      <c r="A140" s="19"/>
      <c r="B140" s="3"/>
      <c r="C140" s="3"/>
      <c r="D140" s="3"/>
      <c r="E140" s="3"/>
      <c r="F140" s="3"/>
      <c r="G140" s="3"/>
      <c r="H140" s="8"/>
      <c r="I140" s="1"/>
    </row>
    <row r="141" spans="1:9" x14ac:dyDescent="0.3">
      <c r="A141" s="19"/>
      <c r="B141" s="3"/>
      <c r="C141" s="3"/>
      <c r="D141" s="3"/>
      <c r="E141" s="3"/>
      <c r="F141" s="3"/>
      <c r="G141" s="3"/>
      <c r="H141" s="8"/>
      <c r="I141" s="1"/>
    </row>
    <row r="142" spans="1:9" x14ac:dyDescent="0.3">
      <c r="A142" s="19"/>
      <c r="B142" s="3"/>
      <c r="C142" s="3"/>
      <c r="D142" s="3"/>
      <c r="E142" s="3"/>
      <c r="F142" s="3"/>
      <c r="G142" s="3"/>
      <c r="H142" s="8"/>
      <c r="I142" s="1"/>
    </row>
    <row r="143" spans="1:9" x14ac:dyDescent="0.3">
      <c r="A143" s="19"/>
      <c r="B143" s="3"/>
      <c r="C143" s="3"/>
      <c r="D143" s="3"/>
      <c r="E143" s="3"/>
      <c r="F143" s="3"/>
      <c r="G143" s="3"/>
      <c r="H143" s="8"/>
      <c r="I143" s="1"/>
    </row>
    <row r="144" spans="1:9" x14ac:dyDescent="0.3">
      <c r="A144" s="19"/>
      <c r="B144" s="3"/>
      <c r="C144" s="3"/>
      <c r="D144" s="3"/>
      <c r="E144" s="3"/>
      <c r="F144" s="3"/>
      <c r="G144" s="3"/>
      <c r="H144" s="8"/>
      <c r="I144" s="1"/>
    </row>
    <row r="145" spans="1:9" x14ac:dyDescent="0.3">
      <c r="A145" s="19"/>
      <c r="B145" s="3"/>
      <c r="C145" s="3"/>
      <c r="D145" s="3"/>
      <c r="E145" s="3"/>
      <c r="F145" s="3"/>
      <c r="G145" s="3"/>
      <c r="H145" s="8"/>
      <c r="I145" s="1"/>
    </row>
    <row r="146" spans="1:9" x14ac:dyDescent="0.3">
      <c r="A146" s="19"/>
      <c r="B146" s="3"/>
      <c r="C146" s="3"/>
      <c r="D146" s="3"/>
      <c r="E146" s="3"/>
      <c r="F146" s="3"/>
      <c r="G146" s="3"/>
      <c r="H146" s="8"/>
      <c r="I146" s="1"/>
    </row>
    <row r="147" spans="1:9" x14ac:dyDescent="0.3">
      <c r="A147" s="19"/>
      <c r="B147" s="3"/>
      <c r="C147" s="3"/>
      <c r="D147" s="3"/>
      <c r="E147" s="3"/>
      <c r="F147" s="3"/>
      <c r="G147" s="3"/>
      <c r="H147" s="8"/>
      <c r="I147" s="1"/>
    </row>
    <row r="148" spans="1:9" x14ac:dyDescent="0.3">
      <c r="A148" s="19"/>
      <c r="B148" s="3"/>
      <c r="C148" s="3"/>
      <c r="D148" s="3"/>
      <c r="E148" s="3"/>
      <c r="F148" s="3"/>
      <c r="G148" s="3"/>
      <c r="H148" s="8"/>
      <c r="I148" s="1"/>
    </row>
    <row r="149" spans="1:9" x14ac:dyDescent="0.3">
      <c r="A149" s="19"/>
      <c r="B149" s="3"/>
      <c r="C149" s="3"/>
      <c r="D149" s="3"/>
      <c r="E149" s="3"/>
      <c r="F149" s="3"/>
      <c r="G149" s="3"/>
      <c r="H149" s="8"/>
      <c r="I149" s="1"/>
    </row>
    <row r="150" spans="1:9" x14ac:dyDescent="0.3">
      <c r="A150" s="19"/>
      <c r="B150" s="3"/>
      <c r="C150" s="3"/>
      <c r="D150" s="3"/>
      <c r="E150" s="3"/>
      <c r="F150" s="3"/>
      <c r="G150" s="3"/>
      <c r="H150" s="8"/>
      <c r="I150" s="1"/>
    </row>
    <row r="151" spans="1:9" x14ac:dyDescent="0.3">
      <c r="A151" s="19"/>
      <c r="B151" s="3"/>
      <c r="C151" s="3"/>
      <c r="D151" s="3"/>
      <c r="E151" s="3"/>
      <c r="F151" s="3"/>
      <c r="G151" s="3"/>
      <c r="H151" s="8"/>
      <c r="I151" s="1"/>
    </row>
    <row r="152" spans="1:9" x14ac:dyDescent="0.3">
      <c r="A152" s="19"/>
      <c r="B152" s="3"/>
      <c r="C152" s="3"/>
      <c r="D152" s="3"/>
      <c r="E152" s="3"/>
      <c r="F152" s="3"/>
      <c r="G152" s="3"/>
      <c r="H152" s="8"/>
      <c r="I152" s="1"/>
    </row>
    <row r="153" spans="1:9" x14ac:dyDescent="0.3">
      <c r="A153" s="19"/>
      <c r="B153" s="3"/>
      <c r="C153" s="3"/>
      <c r="D153" s="3"/>
      <c r="E153" s="3"/>
      <c r="F153" s="3"/>
      <c r="G153" s="3"/>
      <c r="H153" s="8"/>
      <c r="I153" s="1"/>
    </row>
    <row r="154" spans="1:9" x14ac:dyDescent="0.3">
      <c r="A154" s="19"/>
      <c r="B154" s="3"/>
      <c r="C154" s="3"/>
      <c r="D154" s="3"/>
      <c r="E154" s="3"/>
      <c r="F154" s="3"/>
      <c r="G154" s="3"/>
      <c r="H154" s="8"/>
      <c r="I154" s="1"/>
    </row>
    <row r="155" spans="1:9" x14ac:dyDescent="0.3">
      <c r="A155" s="19"/>
      <c r="B155" s="3"/>
      <c r="C155" s="3"/>
      <c r="D155" s="3"/>
      <c r="E155" s="3"/>
      <c r="F155" s="3"/>
      <c r="G155" s="3"/>
      <c r="H155" s="8"/>
      <c r="I155" s="1"/>
    </row>
    <row r="156" spans="1:9" x14ac:dyDescent="0.3">
      <c r="A156" s="19"/>
      <c r="B156" s="3"/>
      <c r="C156" s="3"/>
      <c r="D156" s="3"/>
      <c r="E156" s="3"/>
      <c r="F156" s="3"/>
      <c r="G156" s="3"/>
      <c r="H156" s="8"/>
      <c r="I156" s="1"/>
    </row>
    <row r="157" spans="1:9" x14ac:dyDescent="0.3">
      <c r="A157" s="19"/>
      <c r="B157" s="3"/>
      <c r="C157" s="3"/>
      <c r="D157" s="3"/>
      <c r="E157" s="3"/>
      <c r="F157" s="3"/>
      <c r="G157" s="3"/>
      <c r="H157" s="8"/>
      <c r="I157" s="1"/>
    </row>
    <row r="158" spans="1:9" x14ac:dyDescent="0.3">
      <c r="A158" s="19"/>
      <c r="B158" s="3"/>
      <c r="C158" s="3"/>
      <c r="D158" s="3"/>
      <c r="E158" s="3"/>
      <c r="F158" s="3"/>
      <c r="G158" s="3"/>
      <c r="H158" s="8"/>
      <c r="I158" s="1"/>
    </row>
    <row r="159" spans="1:9" x14ac:dyDescent="0.3">
      <c r="A159" s="19"/>
      <c r="B159" s="3"/>
      <c r="C159" s="3"/>
      <c r="D159" s="3"/>
      <c r="E159" s="3"/>
      <c r="F159" s="3"/>
      <c r="G159" s="3"/>
      <c r="H159" s="8"/>
      <c r="I159" s="1"/>
    </row>
    <row r="160" spans="1:9" x14ac:dyDescent="0.3">
      <c r="A160" s="19"/>
      <c r="B160" s="3"/>
      <c r="C160" s="3"/>
      <c r="D160" s="3"/>
      <c r="E160" s="3"/>
      <c r="F160" s="3"/>
      <c r="G160" s="3"/>
      <c r="H160" s="8"/>
      <c r="I160" s="1"/>
    </row>
    <row r="161" spans="1:9" x14ac:dyDescent="0.3">
      <c r="A161" s="19"/>
      <c r="B161" s="3"/>
      <c r="C161" s="3"/>
      <c r="D161" s="3"/>
      <c r="E161" s="3"/>
      <c r="F161" s="3"/>
      <c r="G161" s="3"/>
      <c r="H161" s="8"/>
      <c r="I161" s="1"/>
    </row>
    <row r="162" spans="1:9" x14ac:dyDescent="0.3">
      <c r="A162" s="19"/>
      <c r="B162" s="3"/>
      <c r="C162" s="3"/>
      <c r="D162" s="3"/>
      <c r="E162" s="3"/>
      <c r="F162" s="3"/>
      <c r="G162" s="3"/>
      <c r="H162" s="8"/>
      <c r="I162" s="1"/>
    </row>
    <row r="163" spans="1:9" x14ac:dyDescent="0.3">
      <c r="A163" s="19"/>
      <c r="B163" s="3"/>
      <c r="C163" s="3"/>
      <c r="D163" s="3"/>
      <c r="E163" s="3"/>
      <c r="F163" s="3"/>
      <c r="G163" s="3"/>
      <c r="H163" s="8"/>
      <c r="I163" s="1"/>
    </row>
    <row r="164" spans="1:9" x14ac:dyDescent="0.3">
      <c r="A164" s="19"/>
      <c r="B164" s="3"/>
      <c r="C164" s="3"/>
      <c r="D164" s="3"/>
      <c r="E164" s="3"/>
      <c r="F164" s="3"/>
      <c r="G164" s="3"/>
      <c r="H164" s="8"/>
      <c r="I164" s="1"/>
    </row>
    <row r="165" spans="1:9" x14ac:dyDescent="0.3">
      <c r="A165" s="19"/>
      <c r="B165" s="3"/>
      <c r="C165" s="3"/>
      <c r="D165" s="3"/>
      <c r="E165" s="3"/>
      <c r="F165" s="3"/>
      <c r="G165" s="3"/>
      <c r="H165" s="8"/>
      <c r="I165" s="1"/>
    </row>
    <row r="166" spans="1:9" x14ac:dyDescent="0.3">
      <c r="A166" s="19"/>
      <c r="B166" s="3"/>
      <c r="C166" s="3"/>
      <c r="D166" s="3"/>
      <c r="E166" s="3"/>
      <c r="F166" s="3"/>
      <c r="G166" s="3"/>
      <c r="H166" s="8"/>
      <c r="I166" s="1"/>
    </row>
    <row r="167" spans="1:9" x14ac:dyDescent="0.3">
      <c r="A167" s="19"/>
      <c r="B167" s="3"/>
      <c r="C167" s="3"/>
      <c r="D167" s="3"/>
      <c r="E167" s="3"/>
      <c r="F167" s="3"/>
      <c r="G167" s="3"/>
      <c r="H167" s="8"/>
      <c r="I167" s="1"/>
    </row>
    <row r="168" spans="1:9" x14ac:dyDescent="0.3">
      <c r="A168" s="19"/>
      <c r="B168" s="3"/>
      <c r="C168" s="3"/>
      <c r="D168" s="3"/>
      <c r="E168" s="3"/>
      <c r="F168" s="3"/>
      <c r="G168" s="3"/>
      <c r="H168" s="8"/>
      <c r="I168" s="1"/>
    </row>
    <row r="169" spans="1:9" x14ac:dyDescent="0.3">
      <c r="A169" s="19"/>
      <c r="B169" s="3"/>
      <c r="C169" s="3"/>
      <c r="D169" s="3"/>
      <c r="E169" s="3"/>
      <c r="F169" s="3"/>
      <c r="G169" s="3"/>
      <c r="H169" s="8"/>
      <c r="I169" s="1"/>
    </row>
    <row r="170" spans="1:9" x14ac:dyDescent="0.3">
      <c r="A170" s="19"/>
      <c r="B170" s="3"/>
      <c r="C170" s="3"/>
      <c r="D170" s="3"/>
      <c r="E170" s="3"/>
      <c r="F170" s="3"/>
      <c r="G170" s="3"/>
      <c r="H170" s="8"/>
      <c r="I170" s="1"/>
    </row>
    <row r="171" spans="1:9" x14ac:dyDescent="0.3">
      <c r="A171" s="19"/>
      <c r="B171" s="3"/>
      <c r="C171" s="3"/>
      <c r="D171" s="3"/>
      <c r="E171" s="3"/>
      <c r="F171" s="3"/>
      <c r="G171" s="3"/>
      <c r="H171" s="8"/>
      <c r="I171" s="1"/>
    </row>
    <row r="172" spans="1:9" x14ac:dyDescent="0.3">
      <c r="A172" s="19"/>
      <c r="B172" s="3"/>
      <c r="C172" s="3"/>
      <c r="D172" s="3"/>
      <c r="E172" s="3"/>
      <c r="F172" s="3"/>
      <c r="G172" s="3"/>
      <c r="H172" s="8"/>
      <c r="I172" s="1"/>
    </row>
    <row r="173" spans="1:9" x14ac:dyDescent="0.3">
      <c r="A173" s="19"/>
      <c r="B173" s="3"/>
      <c r="C173" s="3"/>
      <c r="D173" s="3"/>
      <c r="E173" s="3"/>
      <c r="F173" s="3"/>
      <c r="G173" s="3"/>
      <c r="H173" s="8"/>
      <c r="I173" s="1"/>
    </row>
    <row r="174" spans="1:9" x14ac:dyDescent="0.3">
      <c r="A174" s="19"/>
      <c r="B174" s="3"/>
      <c r="C174" s="3"/>
      <c r="D174" s="3"/>
      <c r="E174" s="3"/>
      <c r="F174" s="3"/>
      <c r="G174" s="3"/>
      <c r="H174" s="8"/>
      <c r="I174" s="1"/>
    </row>
    <row r="175" spans="1:9" x14ac:dyDescent="0.3">
      <c r="A175" s="19"/>
      <c r="B175" s="3"/>
      <c r="C175" s="3"/>
      <c r="D175" s="3"/>
      <c r="E175" s="3"/>
      <c r="F175" s="3"/>
      <c r="G175" s="3"/>
      <c r="H175" s="8"/>
      <c r="I175" s="1"/>
    </row>
    <row r="176" spans="1:9" x14ac:dyDescent="0.3">
      <c r="A176" s="19"/>
      <c r="B176" s="3"/>
      <c r="C176" s="3"/>
      <c r="D176" s="3"/>
      <c r="E176" s="3"/>
      <c r="F176" s="3"/>
      <c r="G176" s="3"/>
      <c r="H176" s="8"/>
      <c r="I176" s="1"/>
    </row>
    <row r="177" spans="1:9" x14ac:dyDescent="0.3">
      <c r="A177" s="19"/>
      <c r="B177" s="3"/>
      <c r="C177" s="3"/>
      <c r="D177" s="3"/>
      <c r="E177" s="3"/>
      <c r="F177" s="3"/>
      <c r="G177" s="3"/>
      <c r="H177" s="8"/>
      <c r="I177" s="1"/>
    </row>
    <row r="178" spans="1:9" x14ac:dyDescent="0.3">
      <c r="A178" s="19"/>
      <c r="B178" s="3"/>
      <c r="C178" s="3"/>
      <c r="D178" s="3"/>
      <c r="E178" s="3"/>
      <c r="F178" s="3"/>
      <c r="G178" s="3"/>
      <c r="H178" s="8"/>
      <c r="I178" s="1"/>
    </row>
    <row r="179" spans="1:9" x14ac:dyDescent="0.3">
      <c r="A179" s="19"/>
      <c r="B179" s="3"/>
      <c r="C179" s="3"/>
      <c r="D179" s="3"/>
      <c r="E179" s="3"/>
      <c r="F179" s="3"/>
      <c r="G179" s="3"/>
      <c r="H179" s="8"/>
      <c r="I179" s="1"/>
    </row>
    <row r="180" spans="1:9" x14ac:dyDescent="0.3">
      <c r="A180" s="19"/>
      <c r="B180" s="3"/>
      <c r="C180" s="3"/>
      <c r="D180" s="3"/>
      <c r="E180" s="3"/>
      <c r="F180" s="3"/>
      <c r="G180" s="3"/>
      <c r="H180" s="8"/>
      <c r="I180" s="1"/>
    </row>
    <row r="181" spans="1:9" x14ac:dyDescent="0.3">
      <c r="A181" s="19"/>
      <c r="B181" s="3"/>
      <c r="C181" s="3"/>
      <c r="D181" s="3"/>
      <c r="E181" s="3"/>
      <c r="F181" s="3"/>
      <c r="G181" s="3"/>
      <c r="H181" s="8"/>
      <c r="I181" s="1"/>
    </row>
    <row r="182" spans="1:9" x14ac:dyDescent="0.3">
      <c r="A182" s="19"/>
      <c r="B182" s="3"/>
      <c r="C182" s="3"/>
      <c r="D182" s="3"/>
      <c r="E182" s="3"/>
      <c r="F182" s="3"/>
      <c r="G182" s="3"/>
      <c r="H182" s="8"/>
      <c r="I182" s="1"/>
    </row>
    <row r="183" spans="1:9" x14ac:dyDescent="0.3">
      <c r="A183" s="19"/>
      <c r="B183" s="3"/>
      <c r="C183" s="3"/>
      <c r="D183" s="3"/>
      <c r="E183" s="3"/>
      <c r="F183" s="3"/>
      <c r="G183" s="3"/>
      <c r="H183" s="8"/>
      <c r="I183" s="1"/>
    </row>
    <row r="184" spans="1:9" x14ac:dyDescent="0.3">
      <c r="A184" s="19"/>
      <c r="B184" s="3"/>
      <c r="C184" s="3"/>
      <c r="D184" s="3"/>
      <c r="E184" s="3"/>
      <c r="F184" s="3"/>
      <c r="G184" s="3"/>
      <c r="H184" s="8"/>
      <c r="I184" s="1"/>
    </row>
    <row r="185" spans="1:9" x14ac:dyDescent="0.3">
      <c r="A185" s="19"/>
      <c r="B185" s="3"/>
      <c r="C185" s="3"/>
      <c r="D185" s="3"/>
      <c r="E185" s="3"/>
      <c r="F185" s="3"/>
      <c r="G185" s="3"/>
      <c r="H185" s="8"/>
      <c r="I185" s="1"/>
    </row>
    <row r="186" spans="1:9" x14ac:dyDescent="0.3">
      <c r="A186" s="19"/>
      <c r="B186" s="3"/>
      <c r="C186" s="3"/>
      <c r="D186" s="3"/>
      <c r="E186" s="3"/>
      <c r="F186" s="3"/>
      <c r="G186" s="3"/>
      <c r="H186" s="8"/>
      <c r="I186" s="1"/>
    </row>
    <row r="187" spans="1:9" x14ac:dyDescent="0.3">
      <c r="A187" s="19"/>
      <c r="B187" s="3"/>
      <c r="C187" s="3"/>
      <c r="D187" s="3"/>
      <c r="E187" s="3"/>
      <c r="F187" s="3"/>
      <c r="G187" s="3"/>
      <c r="H187" s="8"/>
      <c r="I187" s="1"/>
    </row>
    <row r="188" spans="1:9" x14ac:dyDescent="0.3">
      <c r="A188" s="19"/>
      <c r="B188" s="3"/>
      <c r="C188" s="3"/>
      <c r="D188" s="3"/>
      <c r="E188" s="3"/>
      <c r="F188" s="3"/>
      <c r="G188" s="3"/>
      <c r="H188" s="8"/>
      <c r="I188" s="1"/>
    </row>
    <row r="189" spans="1:9" x14ac:dyDescent="0.3">
      <c r="A189" s="19"/>
      <c r="B189" s="3"/>
      <c r="C189" s="3"/>
      <c r="D189" s="3"/>
      <c r="E189" s="3"/>
      <c r="F189" s="3"/>
      <c r="G189" s="3"/>
      <c r="H189" s="8"/>
      <c r="I189" s="1"/>
    </row>
    <row r="190" spans="1:9" x14ac:dyDescent="0.3">
      <c r="A190" s="19"/>
      <c r="B190" s="3"/>
      <c r="C190" s="3"/>
      <c r="D190" s="3"/>
      <c r="E190" s="3"/>
      <c r="F190" s="3"/>
      <c r="G190" s="3"/>
      <c r="H190" s="8"/>
      <c r="I190" s="1"/>
    </row>
    <row r="191" spans="1:9" x14ac:dyDescent="0.3">
      <c r="A191" s="19"/>
      <c r="B191" s="3"/>
      <c r="C191" s="3"/>
      <c r="D191" s="3"/>
      <c r="E191" s="3"/>
      <c r="F191" s="3"/>
      <c r="G191" s="3"/>
      <c r="H191" s="8"/>
      <c r="I191" s="1"/>
    </row>
    <row r="192" spans="1:9" x14ac:dyDescent="0.3">
      <c r="A192" s="19"/>
      <c r="B192" s="3"/>
      <c r="C192" s="3"/>
      <c r="D192" s="3"/>
      <c r="E192" s="3"/>
      <c r="F192" s="3"/>
      <c r="G192" s="3"/>
      <c r="H192" s="8"/>
      <c r="I192" s="1"/>
    </row>
    <row r="193" spans="1:9" x14ac:dyDescent="0.3">
      <c r="A193" s="19"/>
      <c r="B193" s="3"/>
      <c r="C193" s="3"/>
      <c r="D193" s="3"/>
      <c r="E193" s="3"/>
      <c r="F193" s="3"/>
      <c r="G193" s="3"/>
      <c r="H193" s="8"/>
      <c r="I193" s="1"/>
    </row>
    <row r="194" spans="1:9" x14ac:dyDescent="0.3">
      <c r="A194" s="19"/>
      <c r="B194" s="3"/>
      <c r="C194" s="3"/>
      <c r="D194" s="3"/>
      <c r="E194" s="3"/>
      <c r="F194" s="3"/>
      <c r="G194" s="3"/>
      <c r="H194" s="8"/>
      <c r="I194" s="1"/>
    </row>
    <row r="195" spans="1:9" x14ac:dyDescent="0.3">
      <c r="A195" s="19"/>
      <c r="B195" s="3"/>
      <c r="C195" s="3"/>
      <c r="D195" s="3"/>
      <c r="E195" s="3"/>
      <c r="F195" s="3"/>
      <c r="G195" s="3"/>
      <c r="H195" s="8"/>
      <c r="I195" s="1"/>
    </row>
    <row r="196" spans="1:9" x14ac:dyDescent="0.3">
      <c r="A196" s="19"/>
      <c r="B196" s="3"/>
      <c r="C196" s="3"/>
      <c r="D196" s="3"/>
      <c r="E196" s="3"/>
      <c r="F196" s="3"/>
      <c r="G196" s="3"/>
      <c r="H196" s="8"/>
      <c r="I196" s="1"/>
    </row>
    <row r="197" spans="1:9" x14ac:dyDescent="0.3">
      <c r="A197" s="19"/>
      <c r="B197" s="3"/>
      <c r="C197" s="3"/>
      <c r="D197" s="3"/>
      <c r="E197" s="3"/>
      <c r="F197" s="3"/>
      <c r="G197" s="3"/>
      <c r="H197" s="8"/>
      <c r="I197" s="1"/>
    </row>
    <row r="198" spans="1:9" x14ac:dyDescent="0.3">
      <c r="A198" s="19"/>
      <c r="B198" s="3"/>
      <c r="C198" s="3"/>
      <c r="D198" s="3"/>
      <c r="E198" s="3"/>
      <c r="F198" s="3"/>
      <c r="G198" s="3"/>
      <c r="H198" s="8"/>
      <c r="I198" s="1"/>
    </row>
    <row r="199" spans="1:9" x14ac:dyDescent="0.3">
      <c r="A199" s="19"/>
      <c r="B199" s="3"/>
      <c r="C199" s="3"/>
      <c r="D199" s="3"/>
      <c r="E199" s="3"/>
      <c r="F199" s="3"/>
      <c r="G199" s="3"/>
      <c r="H199" s="8"/>
      <c r="I199" s="1"/>
    </row>
    <row r="200" spans="1:9" x14ac:dyDescent="0.3">
      <c r="A200" s="19"/>
      <c r="B200" s="3"/>
      <c r="C200" s="3"/>
      <c r="D200" s="3"/>
      <c r="E200" s="3"/>
      <c r="F200" s="3"/>
      <c r="G200" s="3"/>
      <c r="H200" s="8"/>
      <c r="I200" s="1"/>
    </row>
    <row r="201" spans="1:9" x14ac:dyDescent="0.3">
      <c r="A201" s="19"/>
      <c r="B201" s="3"/>
      <c r="C201" s="3"/>
      <c r="D201" s="3"/>
      <c r="E201" s="3"/>
      <c r="F201" s="3"/>
      <c r="G201" s="3"/>
      <c r="H201" s="8"/>
      <c r="I201" s="1"/>
    </row>
    <row r="202" spans="1:9" x14ac:dyDescent="0.3">
      <c r="A202" s="19"/>
      <c r="B202" s="3"/>
      <c r="C202" s="3"/>
      <c r="D202" s="3"/>
      <c r="E202" s="3"/>
      <c r="F202" s="3"/>
      <c r="G202" s="3"/>
      <c r="H202" s="8"/>
      <c r="I202" s="1"/>
    </row>
    <row r="203" spans="1:9" x14ac:dyDescent="0.3">
      <c r="A203" s="19"/>
      <c r="B203" s="3"/>
      <c r="C203" s="3"/>
      <c r="D203" s="3"/>
      <c r="E203" s="3"/>
      <c r="F203" s="3"/>
      <c r="G203" s="3"/>
      <c r="H203" s="8"/>
      <c r="I203" s="1"/>
    </row>
    <row r="204" spans="1:9" x14ac:dyDescent="0.3">
      <c r="A204" s="19"/>
      <c r="B204" s="3"/>
      <c r="C204" s="3"/>
      <c r="D204" s="3"/>
      <c r="E204" s="3"/>
      <c r="F204" s="3"/>
      <c r="G204" s="3"/>
      <c r="H204" s="8"/>
      <c r="I204" s="1"/>
    </row>
    <row r="205" spans="1:9" x14ac:dyDescent="0.3">
      <c r="A205" s="19"/>
      <c r="B205" s="3"/>
      <c r="C205" s="3"/>
      <c r="D205" s="3"/>
      <c r="E205" s="3"/>
      <c r="F205" s="3"/>
      <c r="G205" s="3"/>
      <c r="H205" s="8"/>
      <c r="I205" s="1"/>
    </row>
    <row r="206" spans="1:9" x14ac:dyDescent="0.3">
      <c r="A206" s="19"/>
      <c r="B206" s="3"/>
      <c r="C206" s="3"/>
      <c r="D206" s="3"/>
      <c r="E206" s="3"/>
      <c r="F206" s="3"/>
      <c r="G206" s="3"/>
      <c r="H206" s="8"/>
      <c r="I206" s="1"/>
    </row>
    <row r="207" spans="1:9" x14ac:dyDescent="0.3">
      <c r="A207" s="19"/>
      <c r="B207" s="3"/>
      <c r="C207" s="3"/>
      <c r="D207" s="3"/>
      <c r="E207" s="3"/>
      <c r="F207" s="3"/>
      <c r="G207" s="3"/>
      <c r="H207" s="8"/>
      <c r="I207" s="1"/>
    </row>
    <row r="208" spans="1:9" x14ac:dyDescent="0.3">
      <c r="A208" s="19"/>
      <c r="B208" s="3"/>
      <c r="C208" s="3"/>
      <c r="D208" s="3"/>
      <c r="E208" s="3"/>
      <c r="F208" s="3"/>
      <c r="G208" s="3"/>
      <c r="H208" s="8"/>
      <c r="I208" s="1"/>
    </row>
    <row r="209" spans="1:9" x14ac:dyDescent="0.3">
      <c r="A209" s="19"/>
      <c r="B209" s="3"/>
      <c r="C209" s="3"/>
      <c r="D209" s="3"/>
      <c r="E209" s="3"/>
      <c r="F209" s="3"/>
      <c r="G209" s="3"/>
      <c r="H209" s="8"/>
      <c r="I209" s="1"/>
    </row>
    <row r="210" spans="1:9" x14ac:dyDescent="0.3">
      <c r="A210" s="19"/>
      <c r="B210" s="3"/>
      <c r="C210" s="3"/>
      <c r="D210" s="3"/>
      <c r="E210" s="3"/>
      <c r="F210" s="3"/>
      <c r="G210" s="3"/>
      <c r="H210" s="8"/>
      <c r="I210" s="1"/>
    </row>
    <row r="211" spans="1:9" x14ac:dyDescent="0.3">
      <c r="A211" s="19"/>
      <c r="B211" s="3"/>
      <c r="C211" s="3"/>
      <c r="D211" s="3"/>
      <c r="E211" s="3"/>
      <c r="F211" s="3"/>
      <c r="G211" s="3"/>
      <c r="H211" s="8"/>
      <c r="I211" s="1"/>
    </row>
    <row r="212" spans="1:9" x14ac:dyDescent="0.3">
      <c r="A212" s="19"/>
      <c r="B212" s="3"/>
      <c r="C212" s="3"/>
      <c r="D212" s="3"/>
      <c r="E212" s="3"/>
      <c r="F212" s="3"/>
      <c r="G212" s="3"/>
      <c r="H212" s="8"/>
      <c r="I212" s="1"/>
    </row>
    <row r="213" spans="1:9" x14ac:dyDescent="0.3">
      <c r="A213" s="19"/>
      <c r="B213" s="3"/>
      <c r="C213" s="3"/>
      <c r="D213" s="3"/>
      <c r="E213" s="3"/>
      <c r="F213" s="3"/>
      <c r="G213" s="3"/>
      <c r="H213" s="8"/>
      <c r="I213" s="1"/>
    </row>
    <row r="214" spans="1:9" x14ac:dyDescent="0.3">
      <c r="A214" s="19"/>
      <c r="B214" s="3"/>
      <c r="C214" s="3"/>
      <c r="D214" s="3"/>
      <c r="E214" s="3"/>
      <c r="F214" s="3"/>
      <c r="G214" s="3"/>
      <c r="H214" s="8"/>
      <c r="I214" s="1"/>
    </row>
    <row r="215" spans="1:9" x14ac:dyDescent="0.3">
      <c r="A215" s="19"/>
      <c r="B215" s="3"/>
      <c r="C215" s="3"/>
      <c r="D215" s="3"/>
      <c r="E215" s="3"/>
      <c r="F215" s="3"/>
      <c r="G215" s="3"/>
      <c r="H215" s="8"/>
      <c r="I215" s="1"/>
    </row>
    <row r="216" spans="1:9" x14ac:dyDescent="0.3">
      <c r="A216" s="19"/>
      <c r="B216" s="3"/>
      <c r="C216" s="3"/>
      <c r="D216" s="3"/>
      <c r="E216" s="3"/>
      <c r="F216" s="3"/>
      <c r="G216" s="3"/>
      <c r="H216" s="8"/>
      <c r="I216" s="1"/>
    </row>
    <row r="217" spans="1:9" x14ac:dyDescent="0.3">
      <c r="A217" s="19"/>
      <c r="B217" s="3"/>
      <c r="C217" s="3"/>
      <c r="D217" s="3"/>
      <c r="E217" s="3"/>
      <c r="F217" s="3"/>
      <c r="G217" s="3"/>
      <c r="H217" s="8"/>
      <c r="I217" s="1"/>
    </row>
    <row r="218" spans="1:9" x14ac:dyDescent="0.3">
      <c r="A218" s="19"/>
      <c r="B218" s="3"/>
      <c r="C218" s="3"/>
      <c r="D218" s="3"/>
      <c r="E218" s="3"/>
      <c r="F218" s="3"/>
      <c r="G218" s="3"/>
      <c r="H218" s="8"/>
      <c r="I218" s="1"/>
    </row>
    <row r="219" spans="1:9" x14ac:dyDescent="0.3">
      <c r="A219" s="19"/>
      <c r="B219" s="3"/>
      <c r="C219" s="3"/>
      <c r="D219" s="3"/>
      <c r="E219" s="3"/>
      <c r="F219" s="3"/>
      <c r="G219" s="3"/>
      <c r="H219" s="8"/>
      <c r="I219" s="1"/>
    </row>
    <row r="220" spans="1:9" x14ac:dyDescent="0.3">
      <c r="A220" s="19"/>
      <c r="B220" s="3"/>
      <c r="C220" s="3"/>
      <c r="D220" s="3"/>
      <c r="E220" s="3"/>
      <c r="F220" s="3"/>
      <c r="G220" s="3"/>
      <c r="H220" s="8"/>
      <c r="I220" s="1"/>
    </row>
    <row r="221" spans="1:9" x14ac:dyDescent="0.3">
      <c r="A221" s="19"/>
      <c r="B221" s="3"/>
      <c r="C221" s="3"/>
      <c r="D221" s="3"/>
      <c r="E221" s="3"/>
      <c r="F221" s="3"/>
      <c r="G221" s="3"/>
      <c r="H221" s="8"/>
      <c r="I221" s="1"/>
    </row>
    <row r="222" spans="1:9" x14ac:dyDescent="0.3">
      <c r="A222" s="19"/>
      <c r="B222" s="3"/>
      <c r="C222" s="3"/>
      <c r="D222" s="3"/>
      <c r="E222" s="3"/>
      <c r="F222" s="3"/>
      <c r="G222" s="3"/>
      <c r="H222" s="8"/>
      <c r="I222" s="1"/>
    </row>
    <row r="223" spans="1:9" x14ac:dyDescent="0.3">
      <c r="A223" s="19"/>
      <c r="B223" s="3"/>
      <c r="C223" s="3"/>
      <c r="D223" s="3"/>
      <c r="E223" s="3"/>
      <c r="F223" s="3"/>
      <c r="G223" s="3"/>
      <c r="H223" s="8"/>
      <c r="I223" s="1"/>
    </row>
    <row r="224" spans="1:9" x14ac:dyDescent="0.3">
      <c r="A224" s="19"/>
      <c r="B224" s="3"/>
      <c r="C224" s="3"/>
      <c r="D224" s="3"/>
      <c r="E224" s="3"/>
      <c r="F224" s="3"/>
      <c r="G224" s="3"/>
      <c r="H224" s="8"/>
      <c r="I224" s="1"/>
    </row>
    <row r="225" spans="1:9" x14ac:dyDescent="0.3">
      <c r="A225" s="19"/>
      <c r="B225" s="3"/>
      <c r="C225" s="3"/>
      <c r="D225" s="3"/>
      <c r="E225" s="3"/>
      <c r="F225" s="3"/>
      <c r="G225" s="3"/>
      <c r="H225" s="8"/>
      <c r="I225" s="1"/>
    </row>
    <row r="226" spans="1:9" x14ac:dyDescent="0.3">
      <c r="A226" s="19"/>
      <c r="B226" s="3"/>
      <c r="C226" s="3"/>
      <c r="D226" s="3"/>
      <c r="E226" s="3"/>
      <c r="F226" s="3"/>
      <c r="G226" s="3"/>
      <c r="H226" s="8"/>
      <c r="I226" s="1"/>
    </row>
    <row r="227" spans="1:9" x14ac:dyDescent="0.3">
      <c r="A227" s="19"/>
      <c r="B227" s="3"/>
      <c r="C227" s="3"/>
      <c r="D227" s="3"/>
      <c r="E227" s="3"/>
      <c r="F227" s="3"/>
      <c r="G227" s="3"/>
      <c r="H227" s="8"/>
      <c r="I227" s="1"/>
    </row>
    <row r="228" spans="1:9" x14ac:dyDescent="0.3">
      <c r="A228" s="19"/>
      <c r="B228" s="3"/>
      <c r="C228" s="3"/>
      <c r="D228" s="3"/>
      <c r="E228" s="3"/>
      <c r="F228" s="3"/>
      <c r="G228" s="3"/>
      <c r="H228" s="8"/>
      <c r="I228" s="1"/>
    </row>
    <row r="229" spans="1:9" x14ac:dyDescent="0.3">
      <c r="A229" s="19"/>
      <c r="B229" s="3"/>
      <c r="C229" s="3"/>
      <c r="D229" s="3"/>
      <c r="E229" s="3"/>
      <c r="F229" s="3"/>
      <c r="G229" s="3"/>
      <c r="H229" s="8"/>
      <c r="I229" s="1"/>
    </row>
    <row r="230" spans="1:9" x14ac:dyDescent="0.3">
      <c r="A230" s="19"/>
      <c r="B230" s="3"/>
      <c r="C230" s="3"/>
      <c r="D230" s="3"/>
      <c r="E230" s="3"/>
      <c r="F230" s="3"/>
      <c r="G230" s="3"/>
      <c r="H230" s="8"/>
      <c r="I230" s="1"/>
    </row>
    <row r="231" spans="1:9" x14ac:dyDescent="0.3">
      <c r="A231" s="19"/>
      <c r="B231" s="3"/>
      <c r="C231" s="3"/>
      <c r="D231" s="3"/>
      <c r="E231" s="3"/>
      <c r="F231" s="3"/>
      <c r="G231" s="3"/>
      <c r="H231" s="8"/>
      <c r="I231" s="1"/>
    </row>
    <row r="232" spans="1:9" x14ac:dyDescent="0.3">
      <c r="A232" s="19"/>
      <c r="B232" s="3"/>
      <c r="C232" s="3"/>
      <c r="D232" s="3"/>
      <c r="E232" s="3"/>
      <c r="F232" s="3"/>
      <c r="G232" s="3"/>
      <c r="H232" s="8"/>
      <c r="I232" s="1"/>
    </row>
    <row r="233" spans="1:9" x14ac:dyDescent="0.3">
      <c r="A233" s="19"/>
      <c r="B233" s="3"/>
      <c r="C233" s="3"/>
      <c r="D233" s="3"/>
      <c r="E233" s="3"/>
      <c r="F233" s="3"/>
      <c r="G233" s="3"/>
      <c r="H233" s="8"/>
      <c r="I233" s="1"/>
    </row>
    <row r="234" spans="1:9" x14ac:dyDescent="0.3">
      <c r="A234" s="19"/>
      <c r="B234" s="3"/>
      <c r="C234" s="3"/>
      <c r="D234" s="3"/>
      <c r="E234" s="3"/>
      <c r="F234" s="3"/>
      <c r="G234" s="3"/>
      <c r="H234" s="8"/>
      <c r="I234" s="1"/>
    </row>
    <row r="235" spans="1:9" x14ac:dyDescent="0.3">
      <c r="A235" s="19"/>
      <c r="B235" s="3"/>
      <c r="C235" s="3"/>
      <c r="D235" s="3"/>
      <c r="E235" s="3"/>
      <c r="F235" s="3"/>
      <c r="G235" s="3"/>
      <c r="H235" s="8"/>
      <c r="I235" s="1"/>
    </row>
    <row r="236" spans="1:9" x14ac:dyDescent="0.3">
      <c r="A236" s="19"/>
      <c r="B236" s="3"/>
      <c r="C236" s="3"/>
      <c r="D236" s="3"/>
      <c r="E236" s="3"/>
      <c r="F236" s="3"/>
      <c r="G236" s="3"/>
      <c r="H236" s="8"/>
      <c r="I236" s="1"/>
    </row>
    <row r="237" spans="1:9" x14ac:dyDescent="0.3">
      <c r="A237" s="19"/>
      <c r="B237" s="3"/>
      <c r="C237" s="3"/>
      <c r="D237" s="3"/>
      <c r="E237" s="3"/>
      <c r="F237" s="3"/>
      <c r="G237" s="3"/>
      <c r="H237" s="8"/>
      <c r="I237" s="1"/>
    </row>
    <row r="238" spans="1:9" x14ac:dyDescent="0.3">
      <c r="A238" s="19"/>
      <c r="B238" s="3"/>
      <c r="C238" s="3"/>
      <c r="D238" s="3"/>
      <c r="E238" s="3"/>
      <c r="F238" s="3"/>
      <c r="G238" s="3"/>
      <c r="H238" s="8"/>
      <c r="I238" s="1"/>
    </row>
    <row r="239" spans="1:9" x14ac:dyDescent="0.3">
      <c r="A239" s="19"/>
      <c r="B239" s="3"/>
      <c r="C239" s="3"/>
      <c r="D239" s="3"/>
      <c r="E239" s="3"/>
      <c r="F239" s="3"/>
      <c r="G239" s="3"/>
      <c r="H239" s="8"/>
      <c r="I239" s="1"/>
    </row>
    <row r="240" spans="1:9" x14ac:dyDescent="0.3">
      <c r="A240" s="19"/>
      <c r="B240" s="3"/>
      <c r="C240" s="3"/>
      <c r="D240" s="3"/>
      <c r="E240" s="3"/>
      <c r="F240" s="3"/>
      <c r="G240" s="3"/>
      <c r="H240" s="8"/>
      <c r="I240" s="1"/>
    </row>
    <row r="241" spans="1:9" x14ac:dyDescent="0.3">
      <c r="A241" s="19"/>
      <c r="B241" s="3"/>
      <c r="C241" s="3"/>
      <c r="D241" s="3"/>
      <c r="E241" s="3"/>
      <c r="F241" s="3"/>
      <c r="G241" s="3"/>
      <c r="H241" s="8"/>
      <c r="I241" s="1"/>
    </row>
    <row r="242" spans="1:9" x14ac:dyDescent="0.3">
      <c r="A242" s="19"/>
      <c r="B242" s="3"/>
      <c r="C242" s="3"/>
      <c r="D242" s="3"/>
      <c r="E242" s="3"/>
      <c r="F242" s="3"/>
      <c r="G242" s="3"/>
      <c r="H242" s="8"/>
      <c r="I242" s="1"/>
    </row>
    <row r="243" spans="1:9" x14ac:dyDescent="0.3">
      <c r="A243" s="19"/>
      <c r="B243" s="3"/>
      <c r="C243" s="3"/>
      <c r="D243" s="3"/>
      <c r="E243" s="3"/>
      <c r="F243" s="3"/>
      <c r="G243" s="3"/>
      <c r="H243" s="8"/>
      <c r="I243" s="1"/>
    </row>
    <row r="244" spans="1:9" x14ac:dyDescent="0.3">
      <c r="A244" s="19"/>
      <c r="B244" s="3"/>
      <c r="C244" s="3"/>
      <c r="D244" s="3"/>
      <c r="E244" s="3"/>
      <c r="F244" s="3"/>
      <c r="G244" s="3"/>
      <c r="H244" s="8"/>
      <c r="I244" s="1"/>
    </row>
    <row r="245" spans="1:9" x14ac:dyDescent="0.3">
      <c r="A245" s="19"/>
      <c r="B245" s="3"/>
      <c r="C245" s="3"/>
      <c r="D245" s="3"/>
      <c r="E245" s="3"/>
      <c r="F245" s="3"/>
      <c r="G245" s="3"/>
      <c r="H245" s="8"/>
      <c r="I245" s="1"/>
    </row>
    <row r="246" spans="1:9" x14ac:dyDescent="0.3">
      <c r="A246" s="19"/>
      <c r="B246" s="3"/>
      <c r="C246" s="3"/>
      <c r="D246" s="3"/>
      <c r="E246" s="3"/>
      <c r="F246" s="3"/>
      <c r="G246" s="3"/>
      <c r="H246" s="8"/>
      <c r="I246" s="1"/>
    </row>
    <row r="247" spans="1:9" x14ac:dyDescent="0.3">
      <c r="A247" s="19"/>
      <c r="B247" s="3"/>
      <c r="C247" s="3"/>
      <c r="D247" s="3"/>
      <c r="E247" s="3"/>
      <c r="F247" s="3"/>
      <c r="G247" s="3"/>
      <c r="H247" s="8"/>
      <c r="I247" s="1"/>
    </row>
    <row r="248" spans="1:9" x14ac:dyDescent="0.3">
      <c r="A248" s="19"/>
      <c r="B248" s="3"/>
      <c r="C248" s="3"/>
      <c r="D248" s="3"/>
      <c r="E248" s="3"/>
      <c r="F248" s="3"/>
      <c r="G248" s="3"/>
      <c r="H248" s="8"/>
      <c r="I248" s="1"/>
    </row>
    <row r="249" spans="1:9" x14ac:dyDescent="0.3">
      <c r="A249" s="19"/>
      <c r="B249" s="3"/>
      <c r="C249" s="3"/>
      <c r="D249" s="3"/>
      <c r="E249" s="3"/>
      <c r="F249" s="3"/>
      <c r="G249" s="3"/>
      <c r="H249" s="8"/>
      <c r="I249" s="1"/>
    </row>
    <row r="250" spans="1:9" x14ac:dyDescent="0.3">
      <c r="A250" s="19"/>
      <c r="B250" s="3"/>
      <c r="C250" s="3"/>
      <c r="D250" s="3"/>
      <c r="E250" s="3"/>
      <c r="F250" s="3"/>
      <c r="G250" s="3"/>
      <c r="H250" s="8"/>
      <c r="I250" s="1"/>
    </row>
    <row r="251" spans="1:9" x14ac:dyDescent="0.3">
      <c r="A251" s="19"/>
      <c r="B251" s="3"/>
      <c r="C251" s="3"/>
      <c r="D251" s="3"/>
      <c r="E251" s="3"/>
      <c r="F251" s="3"/>
      <c r="G251" s="3"/>
      <c r="H251" s="8"/>
      <c r="I251" s="1"/>
    </row>
    <row r="252" spans="1:9" x14ac:dyDescent="0.3">
      <c r="A252" s="19"/>
      <c r="B252" s="3"/>
      <c r="C252" s="1"/>
      <c r="D252" s="1"/>
      <c r="E252" s="1"/>
      <c r="F252" s="1"/>
      <c r="G252" s="3"/>
      <c r="H252" s="9"/>
      <c r="I252" s="1"/>
    </row>
    <row r="253" spans="1:9" x14ac:dyDescent="0.3">
      <c r="A253" s="19"/>
      <c r="B253" s="3"/>
      <c r="C253" s="1"/>
      <c r="D253" s="1"/>
      <c r="E253" s="1"/>
      <c r="F253" s="1"/>
      <c r="G253" s="3"/>
      <c r="H253" s="9"/>
      <c r="I253" s="1"/>
    </row>
    <row r="254" spans="1:9" x14ac:dyDescent="0.3">
      <c r="A254" s="19"/>
      <c r="B254" s="3"/>
      <c r="C254" s="1"/>
      <c r="D254" s="1"/>
      <c r="E254" s="1"/>
      <c r="F254" s="1"/>
      <c r="G254" s="3"/>
      <c r="H254" s="9"/>
      <c r="I254" s="1"/>
    </row>
    <row r="255" spans="1:9" x14ac:dyDescent="0.3">
      <c r="A255" s="19"/>
      <c r="B255" s="3"/>
      <c r="C255" s="1"/>
      <c r="D255" s="1"/>
      <c r="E255" s="1"/>
      <c r="F255" s="1"/>
      <c r="G255" s="3"/>
      <c r="H255" s="9"/>
      <c r="I255" s="1"/>
    </row>
    <row r="256" spans="1:9" x14ac:dyDescent="0.3">
      <c r="A256" s="19"/>
      <c r="B256" s="3"/>
      <c r="C256" s="1"/>
      <c r="D256" s="1"/>
      <c r="E256" s="1"/>
      <c r="F256" s="1"/>
      <c r="G256" s="3"/>
      <c r="H256" s="9"/>
      <c r="I256" s="1"/>
    </row>
    <row r="257" spans="1:9" x14ac:dyDescent="0.3">
      <c r="A257" s="19"/>
      <c r="B257" s="3"/>
      <c r="C257" s="1"/>
      <c r="D257" s="1"/>
      <c r="E257" s="1"/>
      <c r="F257" s="1"/>
      <c r="G257" s="3"/>
      <c r="H257" s="9"/>
      <c r="I257" s="1"/>
    </row>
    <row r="258" spans="1:9" x14ac:dyDescent="0.3">
      <c r="A258" s="19"/>
      <c r="B258" s="3"/>
      <c r="C258" s="1"/>
      <c r="D258" s="1"/>
      <c r="E258" s="1"/>
      <c r="F258" s="1"/>
      <c r="G258" s="3"/>
      <c r="H258" s="9"/>
      <c r="I258" s="1"/>
    </row>
    <row r="259" spans="1:9" x14ac:dyDescent="0.3">
      <c r="A259" s="19"/>
      <c r="B259" s="3"/>
      <c r="C259" s="1"/>
      <c r="D259" s="1"/>
      <c r="E259" s="1"/>
      <c r="F259" s="1"/>
      <c r="G259" s="3"/>
      <c r="H259" s="9"/>
      <c r="I259" s="1"/>
    </row>
    <row r="260" spans="1:9" x14ac:dyDescent="0.3">
      <c r="A260" s="19"/>
      <c r="B260" s="3"/>
      <c r="C260" s="1"/>
      <c r="D260" s="1"/>
      <c r="E260" s="1"/>
      <c r="F260" s="1"/>
      <c r="G260" s="3"/>
      <c r="H260" s="9"/>
      <c r="I260" s="1"/>
    </row>
    <row r="261" spans="1:9" x14ac:dyDescent="0.3">
      <c r="A261" s="19"/>
      <c r="B261" s="3"/>
      <c r="C261" s="1"/>
      <c r="D261" s="1"/>
      <c r="E261" s="1"/>
      <c r="F261" s="1"/>
      <c r="G261" s="3"/>
      <c r="H261" s="9"/>
      <c r="I261" s="1"/>
    </row>
    <row r="262" spans="1:9" x14ac:dyDescent="0.3">
      <c r="A262" s="19"/>
      <c r="B262" s="3"/>
      <c r="C262" s="1"/>
      <c r="D262" s="1"/>
      <c r="E262" s="1"/>
      <c r="F262" s="1"/>
      <c r="G262" s="3"/>
      <c r="H262" s="9"/>
      <c r="I262" s="1"/>
    </row>
    <row r="263" spans="1:9" x14ac:dyDescent="0.3">
      <c r="A263" s="19"/>
      <c r="B263" s="3"/>
      <c r="C263" s="2"/>
      <c r="D263" s="2"/>
      <c r="E263" s="2"/>
      <c r="F263" s="2"/>
      <c r="G263" s="3"/>
      <c r="H263" s="10"/>
      <c r="I263" s="1"/>
    </row>
    <row r="264" spans="1:9" x14ac:dyDescent="0.3">
      <c r="A264" s="19"/>
      <c r="B264" s="3"/>
      <c r="C264" s="1"/>
      <c r="D264" s="1"/>
      <c r="E264" s="1"/>
      <c r="F264" s="1"/>
      <c r="G264" s="3"/>
      <c r="H264" s="9"/>
      <c r="I264" s="1"/>
    </row>
    <row r="265" spans="1:9" x14ac:dyDescent="0.3">
      <c r="A265" s="19"/>
      <c r="B265" s="3"/>
      <c r="C265" s="1"/>
      <c r="D265" s="1"/>
      <c r="E265" s="1"/>
      <c r="F265" s="1"/>
      <c r="G265" s="3"/>
      <c r="H265" s="9"/>
      <c r="I265" s="1"/>
    </row>
    <row r="266" spans="1:9" x14ac:dyDescent="0.3">
      <c r="A266" s="19"/>
      <c r="B266" s="3"/>
      <c r="C266" s="1"/>
      <c r="D266" s="1"/>
      <c r="E266" s="1"/>
      <c r="F266" s="1"/>
      <c r="G266" s="3"/>
      <c r="H266" s="9"/>
      <c r="I266" s="1"/>
    </row>
    <row r="267" spans="1:9" x14ac:dyDescent="0.3">
      <c r="A267" s="19"/>
      <c r="B267" s="3"/>
      <c r="C267" s="1"/>
      <c r="D267" s="1"/>
      <c r="E267" s="1"/>
      <c r="F267" s="1"/>
      <c r="G267" s="3"/>
      <c r="H267" s="9"/>
      <c r="I267" s="1"/>
    </row>
    <row r="268" spans="1:9" x14ac:dyDescent="0.3">
      <c r="A268" s="19"/>
      <c r="B268" s="3"/>
      <c r="C268" s="1"/>
      <c r="D268" s="1"/>
      <c r="E268" s="1"/>
      <c r="F268" s="1"/>
      <c r="G268" s="3"/>
      <c r="H268" s="9"/>
      <c r="I268" s="1"/>
    </row>
    <row r="269" spans="1:9" x14ac:dyDescent="0.3">
      <c r="A269" s="19"/>
      <c r="B269" s="3"/>
      <c r="C269" s="1"/>
      <c r="D269" s="1"/>
      <c r="E269" s="1"/>
      <c r="F269" s="1"/>
      <c r="G269" s="3"/>
      <c r="H269" s="9"/>
      <c r="I269" s="1"/>
    </row>
    <row r="270" spans="1:9" x14ac:dyDescent="0.3">
      <c r="A270" s="19"/>
      <c r="B270" s="3"/>
      <c r="C270" s="1"/>
      <c r="D270" s="1"/>
      <c r="E270" s="1"/>
      <c r="F270" s="1"/>
      <c r="G270" s="3"/>
      <c r="H270" s="9"/>
      <c r="I270" s="1"/>
    </row>
    <row r="271" spans="1:9" x14ac:dyDescent="0.3">
      <c r="A271" s="19"/>
      <c r="B271" s="3"/>
      <c r="C271" s="1"/>
      <c r="D271" s="1"/>
      <c r="E271" s="1"/>
      <c r="F271" s="1"/>
      <c r="G271" s="3"/>
      <c r="H271" s="9"/>
      <c r="I271" s="1"/>
    </row>
    <row r="272" spans="1:9" x14ac:dyDescent="0.3">
      <c r="A272" s="19"/>
      <c r="B272" s="3"/>
      <c r="C272" s="1"/>
      <c r="D272" s="1"/>
      <c r="E272" s="1"/>
      <c r="F272" s="1"/>
      <c r="G272" s="3"/>
      <c r="H272" s="9"/>
      <c r="I272" s="1"/>
    </row>
    <row r="273" spans="1:9" x14ac:dyDescent="0.3">
      <c r="A273" s="19"/>
      <c r="B273" s="3"/>
      <c r="C273" s="1"/>
      <c r="D273" s="1"/>
      <c r="E273" s="1"/>
      <c r="F273" s="1"/>
      <c r="G273" s="3"/>
      <c r="H273" s="9"/>
      <c r="I273" s="1"/>
    </row>
    <row r="274" spans="1:9" x14ac:dyDescent="0.3">
      <c r="A274" s="19"/>
      <c r="B274" s="3"/>
      <c r="C274" s="1"/>
      <c r="D274" s="1"/>
      <c r="E274" s="1"/>
      <c r="F274" s="1"/>
      <c r="G274" s="3"/>
      <c r="H274" s="9"/>
      <c r="I274" s="1"/>
    </row>
    <row r="275" spans="1:9" x14ac:dyDescent="0.3">
      <c r="A275" s="19"/>
      <c r="B275" s="3"/>
      <c r="C275" s="1"/>
      <c r="D275" s="1"/>
      <c r="E275" s="1"/>
      <c r="F275" s="1"/>
      <c r="G275" s="3"/>
      <c r="H275" s="9"/>
      <c r="I275" s="1"/>
    </row>
    <row r="276" spans="1:9" x14ac:dyDescent="0.3">
      <c r="A276" s="19"/>
      <c r="B276" s="3"/>
      <c r="C276" s="1"/>
      <c r="D276" s="1"/>
      <c r="E276" s="1"/>
      <c r="F276" s="1"/>
      <c r="G276" s="3"/>
      <c r="H276" s="9"/>
      <c r="I276" s="1"/>
    </row>
    <row r="277" spans="1:9" x14ac:dyDescent="0.3">
      <c r="A277" s="19"/>
      <c r="B277" s="3"/>
      <c r="C277" s="1"/>
      <c r="D277" s="1"/>
      <c r="E277" s="1"/>
      <c r="F277" s="1"/>
      <c r="G277" s="3"/>
      <c r="H277" s="9"/>
      <c r="I277" s="1"/>
    </row>
    <row r="278" spans="1:9" x14ac:dyDescent="0.3">
      <c r="A278" s="19"/>
      <c r="B278" s="3"/>
      <c r="C278" s="1"/>
      <c r="D278" s="1"/>
      <c r="E278" s="1"/>
      <c r="F278" s="1"/>
      <c r="G278" s="3"/>
      <c r="H278" s="9"/>
      <c r="I278" s="1"/>
    </row>
    <row r="279" spans="1:9" x14ac:dyDescent="0.3">
      <c r="A279" s="19"/>
      <c r="B279" s="3"/>
      <c r="C279" s="1"/>
      <c r="D279" s="1"/>
      <c r="E279" s="1"/>
      <c r="F279" s="1"/>
      <c r="G279" s="3"/>
      <c r="H279" s="9"/>
      <c r="I279" s="1"/>
    </row>
    <row r="280" spans="1:9" x14ac:dyDescent="0.3">
      <c r="A280" s="19"/>
      <c r="B280" s="3"/>
      <c r="C280" s="1"/>
      <c r="D280" s="1"/>
      <c r="E280" s="1"/>
      <c r="F280" s="1"/>
      <c r="G280" s="3"/>
      <c r="H280" s="9"/>
      <c r="I280" s="1"/>
    </row>
    <row r="281" spans="1:9" x14ac:dyDescent="0.3">
      <c r="A281" s="19"/>
      <c r="B281" s="3"/>
      <c r="C281" s="1"/>
      <c r="D281" s="1"/>
      <c r="E281" s="1"/>
      <c r="F281" s="1"/>
      <c r="G281" s="3"/>
      <c r="H281" s="9"/>
      <c r="I281" s="1"/>
    </row>
    <row r="282" spans="1:9" x14ac:dyDescent="0.3">
      <c r="A282" s="19"/>
      <c r="B282" s="3"/>
      <c r="C282" s="1"/>
      <c r="D282" s="1"/>
      <c r="E282" s="1"/>
      <c r="F282" s="1"/>
      <c r="G282" s="3"/>
      <c r="H282" s="9"/>
      <c r="I282" s="1"/>
    </row>
    <row r="283" spans="1:9" x14ac:dyDescent="0.3">
      <c r="A283" s="19"/>
      <c r="B283" s="3"/>
      <c r="C283" s="1"/>
      <c r="D283" s="1"/>
      <c r="E283" s="1"/>
      <c r="F283" s="1"/>
      <c r="G283" s="3"/>
      <c r="H283" s="9"/>
      <c r="I283" s="1"/>
    </row>
    <row r="284" spans="1:9" x14ac:dyDescent="0.3">
      <c r="A284" s="19"/>
      <c r="B284" s="3"/>
      <c r="C284" s="1"/>
      <c r="D284" s="1"/>
      <c r="E284" s="1"/>
      <c r="F284" s="1"/>
      <c r="G284" s="3"/>
      <c r="H284" s="9"/>
      <c r="I284" s="1"/>
    </row>
    <row r="285" spans="1:9" x14ac:dyDescent="0.3">
      <c r="A285" s="19"/>
      <c r="B285" s="3"/>
      <c r="C285" s="1"/>
      <c r="D285" s="1"/>
      <c r="E285" s="1"/>
      <c r="F285" s="1"/>
      <c r="G285" s="3"/>
      <c r="H285" s="9"/>
      <c r="I285" s="1"/>
    </row>
    <row r="286" spans="1:9" x14ac:dyDescent="0.3">
      <c r="A286" s="19"/>
      <c r="B286" s="3"/>
      <c r="C286" s="1"/>
      <c r="D286" s="1"/>
      <c r="E286" s="1"/>
      <c r="F286" s="1"/>
      <c r="G286" s="3"/>
      <c r="H286" s="9"/>
      <c r="I286" s="1"/>
    </row>
    <row r="287" spans="1:9" x14ac:dyDescent="0.3">
      <c r="A287" s="19"/>
      <c r="B287" s="3"/>
      <c r="C287" s="1"/>
      <c r="D287" s="1"/>
      <c r="E287" s="1"/>
      <c r="F287" s="1"/>
      <c r="G287" s="3"/>
      <c r="H287" s="9"/>
      <c r="I287" s="1"/>
    </row>
    <row r="288" spans="1:9" x14ac:dyDescent="0.3">
      <c r="A288" s="19"/>
      <c r="B288" s="3"/>
      <c r="C288" s="1"/>
      <c r="D288" s="1"/>
      <c r="E288" s="1"/>
      <c r="F288" s="1"/>
      <c r="G288" s="3"/>
      <c r="H288" s="9"/>
      <c r="I288" s="1"/>
    </row>
    <row r="289" spans="1:9" x14ac:dyDescent="0.3">
      <c r="A289" s="19"/>
      <c r="B289" s="3"/>
      <c r="C289" s="1"/>
      <c r="D289" s="1"/>
      <c r="E289" s="1"/>
      <c r="F289" s="1"/>
      <c r="G289" s="3"/>
      <c r="H289" s="9"/>
      <c r="I289" s="1"/>
    </row>
    <row r="290" spans="1:9" x14ac:dyDescent="0.3">
      <c r="A290" s="19"/>
      <c r="B290" s="3"/>
      <c r="C290" s="1"/>
      <c r="D290" s="1"/>
      <c r="E290" s="1"/>
      <c r="F290" s="1"/>
      <c r="G290" s="3"/>
      <c r="H290" s="9"/>
      <c r="I290" s="1"/>
    </row>
    <row r="291" spans="1:9" x14ac:dyDescent="0.3">
      <c r="A291" s="19"/>
      <c r="B291" s="3"/>
      <c r="C291" s="1"/>
      <c r="D291" s="1"/>
      <c r="E291" s="1"/>
      <c r="F291" s="1"/>
      <c r="G291" s="3"/>
      <c r="H291" s="9"/>
      <c r="I291" s="1"/>
    </row>
    <row r="292" spans="1:9" x14ac:dyDescent="0.3">
      <c r="A292" s="19"/>
      <c r="B292" s="3"/>
      <c r="C292" s="1"/>
      <c r="D292" s="1"/>
      <c r="E292" s="1"/>
      <c r="F292" s="1"/>
      <c r="G292" s="3"/>
      <c r="H292" s="9"/>
      <c r="I292" s="1"/>
    </row>
    <row r="293" spans="1:9" x14ac:dyDescent="0.3">
      <c r="A293" s="19"/>
      <c r="B293" s="3"/>
      <c r="C293" s="1"/>
      <c r="D293" s="1"/>
      <c r="E293" s="1"/>
      <c r="F293" s="1"/>
      <c r="G293" s="3"/>
      <c r="H293" s="9"/>
      <c r="I293" s="1"/>
    </row>
    <row r="294" spans="1:9" x14ac:dyDescent="0.3">
      <c r="A294" s="19"/>
      <c r="B294" s="3"/>
      <c r="C294" s="1"/>
      <c r="D294" s="1"/>
      <c r="E294" s="1"/>
      <c r="F294" s="1"/>
      <c r="G294" s="3"/>
      <c r="H294" s="9"/>
      <c r="I294" s="1"/>
    </row>
    <row r="295" spans="1:9" x14ac:dyDescent="0.3">
      <c r="A295" s="19"/>
      <c r="B295" s="3"/>
      <c r="C295" s="1"/>
      <c r="D295" s="1"/>
      <c r="E295" s="1"/>
      <c r="F295" s="1"/>
      <c r="G295" s="3"/>
      <c r="H295" s="9"/>
      <c r="I295" s="1"/>
    </row>
    <row r="296" spans="1:9" x14ac:dyDescent="0.3">
      <c r="A296" s="19"/>
      <c r="B296" s="3"/>
      <c r="C296" s="1"/>
      <c r="D296" s="1"/>
      <c r="E296" s="1"/>
      <c r="F296" s="1"/>
      <c r="G296" s="3"/>
      <c r="H296" s="9"/>
      <c r="I296" s="1"/>
    </row>
    <row r="297" spans="1:9" x14ac:dyDescent="0.3">
      <c r="A297" s="19"/>
      <c r="B297" s="3"/>
      <c r="C297" s="1"/>
      <c r="D297" s="1"/>
      <c r="E297" s="1"/>
      <c r="F297" s="1"/>
      <c r="G297" s="3"/>
      <c r="H297" s="9"/>
      <c r="I297" s="1"/>
    </row>
    <row r="298" spans="1:9" x14ac:dyDescent="0.3">
      <c r="A298" s="19"/>
      <c r="B298" s="3"/>
      <c r="C298" s="1"/>
      <c r="D298" s="1"/>
      <c r="E298" s="1"/>
      <c r="F298" s="1"/>
      <c r="G298" s="3"/>
      <c r="H298" s="9"/>
      <c r="I298" s="1"/>
    </row>
    <row r="299" spans="1:9" x14ac:dyDescent="0.3">
      <c r="A299" s="19"/>
      <c r="B299" s="3"/>
      <c r="C299" s="1"/>
      <c r="D299" s="1"/>
      <c r="E299" s="1"/>
      <c r="F299" s="1"/>
      <c r="G299" s="3"/>
      <c r="H299" s="9"/>
      <c r="I299" s="1"/>
    </row>
    <row r="300" spans="1:9" x14ac:dyDescent="0.3">
      <c r="A300" s="19"/>
      <c r="B300" s="3"/>
      <c r="C300" s="1"/>
      <c r="D300" s="1"/>
      <c r="E300" s="1"/>
      <c r="F300" s="1"/>
      <c r="G300" s="3"/>
      <c r="H300" s="9"/>
      <c r="I300" s="1"/>
    </row>
    <row r="301" spans="1:9" x14ac:dyDescent="0.3">
      <c r="A301" s="19"/>
      <c r="B301" s="3"/>
      <c r="C301" s="1"/>
      <c r="D301" s="1"/>
      <c r="E301" s="1"/>
      <c r="F301" s="1"/>
      <c r="G301" s="3"/>
      <c r="H301" s="9"/>
      <c r="I301" s="1"/>
    </row>
    <row r="302" spans="1:9" x14ac:dyDescent="0.3">
      <c r="A302" s="19"/>
      <c r="B302" s="3"/>
      <c r="C302" s="1"/>
      <c r="D302" s="1"/>
      <c r="E302" s="1"/>
      <c r="F302" s="1"/>
      <c r="G302" s="3"/>
      <c r="H302" s="9"/>
      <c r="I302" s="1"/>
    </row>
    <row r="303" spans="1:9" x14ac:dyDescent="0.3">
      <c r="A303" s="19"/>
      <c r="B303" s="3"/>
      <c r="C303" s="1"/>
      <c r="D303" s="1"/>
      <c r="E303" s="1"/>
      <c r="F303" s="1"/>
      <c r="G303" s="3"/>
      <c r="H303" s="9"/>
      <c r="I303" s="1"/>
    </row>
    <row r="304" spans="1:9" x14ac:dyDescent="0.3">
      <c r="A304" s="19"/>
      <c r="B304" s="3"/>
      <c r="C304" s="1"/>
      <c r="D304" s="1"/>
      <c r="E304" s="1"/>
      <c r="F304" s="1"/>
      <c r="G304" s="3"/>
      <c r="H304" s="9"/>
      <c r="I304" s="1"/>
    </row>
    <row r="305" spans="1:9" x14ac:dyDescent="0.3">
      <c r="A305" s="19"/>
      <c r="B305" s="3"/>
      <c r="C305" s="1"/>
      <c r="D305" s="1"/>
      <c r="E305" s="1"/>
      <c r="F305" s="1"/>
      <c r="G305" s="3"/>
      <c r="H305" s="9"/>
      <c r="I305" s="1"/>
    </row>
    <row r="306" spans="1:9" x14ac:dyDescent="0.3">
      <c r="A306" s="19"/>
      <c r="B306" s="3"/>
      <c r="C306" s="1"/>
      <c r="D306" s="1"/>
      <c r="E306" s="1"/>
      <c r="F306" s="1"/>
      <c r="G306" s="3"/>
      <c r="H306" s="9"/>
      <c r="I306" s="1"/>
    </row>
    <row r="307" spans="1:9" x14ac:dyDescent="0.3">
      <c r="A307" s="19"/>
      <c r="B307" s="3"/>
      <c r="C307" s="1"/>
      <c r="D307" s="1"/>
      <c r="E307" s="1"/>
      <c r="F307" s="1"/>
      <c r="G307" s="3"/>
      <c r="H307" s="9"/>
      <c r="I307" s="1"/>
    </row>
    <row r="308" spans="1:9" x14ac:dyDescent="0.3">
      <c r="A308" s="19"/>
      <c r="B308" s="3"/>
      <c r="C308" s="1"/>
      <c r="D308" s="1"/>
      <c r="E308" s="1"/>
      <c r="F308" s="1"/>
      <c r="G308" s="3"/>
      <c r="H308" s="9"/>
      <c r="I308" s="1"/>
    </row>
    <row r="309" spans="1:9" x14ac:dyDescent="0.3">
      <c r="A309" s="19"/>
      <c r="B309" s="3"/>
      <c r="C309" s="1"/>
      <c r="D309" s="1"/>
      <c r="E309" s="1"/>
      <c r="F309" s="1"/>
      <c r="G309" s="3"/>
      <c r="H309" s="9"/>
      <c r="I309" s="1"/>
    </row>
    <row r="310" spans="1:9" x14ac:dyDescent="0.3">
      <c r="A310" s="19"/>
      <c r="B310" s="3"/>
      <c r="C310" s="1"/>
      <c r="D310" s="1"/>
      <c r="E310" s="1"/>
      <c r="F310" s="1"/>
      <c r="G310" s="3"/>
      <c r="H310" s="9"/>
      <c r="I310" s="1"/>
    </row>
    <row r="311" spans="1:9" x14ac:dyDescent="0.3">
      <c r="A311" s="19"/>
      <c r="B311" s="3"/>
      <c r="C311" s="1"/>
      <c r="D311" s="1"/>
      <c r="E311" s="1"/>
      <c r="F311" s="1"/>
      <c r="G311" s="3"/>
      <c r="H311" s="9"/>
      <c r="I311" s="1"/>
    </row>
    <row r="312" spans="1:9" x14ac:dyDescent="0.3">
      <c r="A312" s="19"/>
      <c r="B312" s="3"/>
      <c r="C312" s="1"/>
      <c r="D312" s="1"/>
      <c r="E312" s="1"/>
      <c r="F312" s="1"/>
      <c r="G312" s="3"/>
      <c r="H312" s="9"/>
      <c r="I312" s="1"/>
    </row>
    <row r="313" spans="1:9" x14ac:dyDescent="0.3">
      <c r="A313" s="19"/>
      <c r="B313" s="3"/>
      <c r="C313" s="1"/>
      <c r="D313" s="1"/>
      <c r="E313" s="1"/>
      <c r="F313" s="1"/>
      <c r="G313" s="3"/>
      <c r="H313" s="9"/>
      <c r="I313" s="1"/>
    </row>
    <row r="314" spans="1:9" x14ac:dyDescent="0.3">
      <c r="A314" s="19"/>
      <c r="B314" s="3"/>
      <c r="C314" s="1"/>
      <c r="D314" s="1"/>
      <c r="E314" s="1"/>
      <c r="F314" s="1"/>
      <c r="G314" s="3"/>
      <c r="H314" s="9"/>
      <c r="I314" s="1"/>
    </row>
    <row r="315" spans="1:9" x14ac:dyDescent="0.3">
      <c r="A315" s="19"/>
      <c r="B315" s="3"/>
      <c r="C315" s="1"/>
      <c r="D315" s="1"/>
      <c r="E315" s="1"/>
      <c r="F315" s="1"/>
      <c r="G315" s="3"/>
      <c r="H315" s="9"/>
      <c r="I315" s="1"/>
    </row>
    <row r="316" spans="1:9" x14ac:dyDescent="0.3">
      <c r="A316" s="19"/>
      <c r="B316" s="3"/>
      <c r="C316" s="1"/>
      <c r="D316" s="1"/>
      <c r="E316" s="1"/>
      <c r="F316" s="1"/>
      <c r="G316" s="3"/>
      <c r="H316" s="9"/>
      <c r="I316" s="1"/>
    </row>
    <row r="317" spans="1:9" x14ac:dyDescent="0.3">
      <c r="A317" s="19"/>
      <c r="B317" s="3"/>
      <c r="C317" s="1"/>
      <c r="D317" s="1"/>
      <c r="E317" s="1"/>
      <c r="F317" s="1"/>
      <c r="G317" s="3"/>
      <c r="H317" s="9"/>
      <c r="I317" s="1"/>
    </row>
    <row r="318" spans="1:9" x14ac:dyDescent="0.3">
      <c r="A318" s="19"/>
      <c r="B318" s="3"/>
      <c r="C318" s="1"/>
      <c r="D318" s="1"/>
      <c r="E318" s="1"/>
      <c r="F318" s="1"/>
      <c r="G318" s="3"/>
      <c r="H318" s="9"/>
      <c r="I318" s="1"/>
    </row>
    <row r="319" spans="1:9" x14ac:dyDescent="0.3">
      <c r="A319" s="19"/>
      <c r="B319" s="3"/>
      <c r="C319" s="1"/>
      <c r="D319" s="1"/>
      <c r="E319" s="1"/>
      <c r="F319" s="1"/>
      <c r="G319" s="3"/>
      <c r="H319" s="9"/>
      <c r="I319" s="1"/>
    </row>
    <row r="320" spans="1:9" x14ac:dyDescent="0.3">
      <c r="A320" s="19"/>
      <c r="B320" s="3"/>
      <c r="C320" s="1"/>
      <c r="D320" s="1"/>
      <c r="E320" s="1"/>
      <c r="F320" s="1"/>
      <c r="G320" s="3"/>
      <c r="H320" s="9"/>
      <c r="I320" s="1"/>
    </row>
    <row r="321" spans="1:9" x14ac:dyDescent="0.3">
      <c r="A321" s="19"/>
      <c r="B321" s="3"/>
      <c r="C321" s="1"/>
      <c r="D321" s="1"/>
      <c r="E321" s="1"/>
      <c r="F321" s="1"/>
      <c r="G321" s="3"/>
      <c r="H321" s="9"/>
      <c r="I321" s="1"/>
    </row>
    <row r="322" spans="1:9" x14ac:dyDescent="0.3">
      <c r="A322" s="19"/>
      <c r="B322" s="3"/>
      <c r="C322" s="1"/>
      <c r="D322" s="1"/>
      <c r="E322" s="1"/>
      <c r="F322" s="1"/>
      <c r="G322" s="3"/>
      <c r="H322" s="9"/>
      <c r="I322" s="1"/>
    </row>
    <row r="323" spans="1:9" x14ac:dyDescent="0.3">
      <c r="A323" s="19"/>
      <c r="B323" s="3"/>
      <c r="C323" s="1"/>
      <c r="D323" s="1"/>
      <c r="E323" s="1"/>
      <c r="F323" s="1"/>
      <c r="G323" s="3"/>
      <c r="H323" s="9"/>
      <c r="I323" s="1"/>
    </row>
    <row r="324" spans="1:9" x14ac:dyDescent="0.3">
      <c r="A324" s="19"/>
      <c r="B324" s="3"/>
      <c r="C324" s="1"/>
      <c r="D324" s="1"/>
      <c r="E324" s="1"/>
      <c r="F324" s="1"/>
      <c r="G324" s="3"/>
      <c r="H324" s="9"/>
      <c r="I324" s="1"/>
    </row>
    <row r="325" spans="1:9" x14ac:dyDescent="0.3">
      <c r="A325" s="19"/>
      <c r="B325" s="3"/>
      <c r="C325" s="1"/>
      <c r="D325" s="1"/>
      <c r="E325" s="1"/>
      <c r="F325" s="1"/>
      <c r="G325" s="3"/>
      <c r="H325" s="9"/>
      <c r="I325" s="1"/>
    </row>
    <row r="326" spans="1:9" x14ac:dyDescent="0.3">
      <c r="A326" s="19"/>
      <c r="B326" s="3"/>
      <c r="C326" s="1"/>
      <c r="D326" s="1"/>
      <c r="E326" s="1"/>
      <c r="F326" s="1"/>
      <c r="G326" s="3"/>
      <c r="H326" s="9"/>
      <c r="I326" s="1"/>
    </row>
    <row r="327" spans="1:9" x14ac:dyDescent="0.3">
      <c r="A327" s="19"/>
      <c r="B327" s="3"/>
      <c r="C327" s="1"/>
      <c r="D327" s="1"/>
      <c r="E327" s="1"/>
      <c r="F327" s="1"/>
      <c r="G327" s="3"/>
      <c r="H327" s="9"/>
      <c r="I327" s="1"/>
    </row>
    <row r="328" spans="1:9" x14ac:dyDescent="0.3">
      <c r="A328" s="19"/>
      <c r="B328" s="3"/>
      <c r="C328" s="3"/>
      <c r="D328" s="3"/>
      <c r="E328" s="3"/>
      <c r="F328" s="3"/>
      <c r="G328" s="3"/>
      <c r="H328" s="8"/>
      <c r="I328" s="1"/>
    </row>
    <row r="329" spans="1:9" x14ac:dyDescent="0.3">
      <c r="A329" s="19"/>
      <c r="B329" s="3"/>
      <c r="C329" s="3"/>
      <c r="D329" s="3"/>
      <c r="E329" s="3"/>
      <c r="F329" s="3"/>
      <c r="G329" s="3"/>
      <c r="H329" s="8"/>
      <c r="I329" s="1"/>
    </row>
    <row r="330" spans="1:9" x14ac:dyDescent="0.3">
      <c r="A330" s="19"/>
      <c r="B330" s="3"/>
      <c r="C330" s="3"/>
      <c r="D330" s="3"/>
      <c r="E330" s="3"/>
      <c r="F330" s="3"/>
      <c r="G330" s="3"/>
      <c r="H330" s="8"/>
      <c r="I330" s="1"/>
    </row>
    <row r="331" spans="1:9" x14ac:dyDescent="0.3">
      <c r="A331" s="19"/>
      <c r="B331" s="3"/>
      <c r="C331" s="3"/>
      <c r="D331" s="3"/>
      <c r="E331" s="3"/>
      <c r="F331" s="3"/>
      <c r="G331" s="3"/>
      <c r="H331" s="8"/>
      <c r="I331" s="1"/>
    </row>
    <row r="332" spans="1:9" x14ac:dyDescent="0.3">
      <c r="A332" s="19"/>
      <c r="B332" s="3"/>
      <c r="C332" s="3"/>
      <c r="D332" s="3"/>
      <c r="E332" s="3"/>
      <c r="F332" s="3"/>
      <c r="G332" s="3"/>
      <c r="H332" s="8"/>
      <c r="I332" s="1"/>
    </row>
    <row r="333" spans="1:9" x14ac:dyDescent="0.3">
      <c r="A333" s="19"/>
      <c r="B333" s="3"/>
      <c r="C333" s="3"/>
      <c r="D333" s="3"/>
      <c r="E333" s="3"/>
      <c r="F333" s="3"/>
      <c r="G333" s="3"/>
      <c r="H333" s="8"/>
      <c r="I333" s="1"/>
    </row>
    <row r="334" spans="1:9" x14ac:dyDescent="0.3">
      <c r="A334" s="19"/>
      <c r="B334" s="3"/>
      <c r="C334" s="3"/>
      <c r="D334" s="3"/>
      <c r="E334" s="3"/>
      <c r="F334" s="3"/>
      <c r="G334" s="3"/>
      <c r="H334" s="8"/>
      <c r="I334" s="1"/>
    </row>
    <row r="335" spans="1:9" x14ac:dyDescent="0.3">
      <c r="A335" s="19"/>
      <c r="B335" s="3"/>
      <c r="C335" s="3"/>
      <c r="D335" s="3"/>
      <c r="E335" s="3"/>
      <c r="F335" s="3"/>
      <c r="G335" s="3"/>
      <c r="H335" s="8"/>
      <c r="I335" s="1"/>
    </row>
    <row r="336" spans="1:9" x14ac:dyDescent="0.3">
      <c r="A336" s="19"/>
      <c r="B336" s="3"/>
      <c r="C336" s="3"/>
      <c r="D336" s="3"/>
      <c r="E336" s="3"/>
      <c r="F336" s="3"/>
      <c r="G336" s="3"/>
      <c r="H336" s="8"/>
      <c r="I336" s="1"/>
    </row>
    <row r="337" spans="1:9" x14ac:dyDescent="0.3">
      <c r="A337" s="19"/>
      <c r="B337" s="3"/>
      <c r="C337" s="3"/>
      <c r="D337" s="3"/>
      <c r="E337" s="3"/>
      <c r="F337" s="3"/>
      <c r="G337" s="3"/>
      <c r="H337" s="8"/>
      <c r="I337" s="1"/>
    </row>
    <row r="338" spans="1:9" x14ac:dyDescent="0.3">
      <c r="A338" s="19"/>
      <c r="B338" s="3"/>
      <c r="C338" s="3"/>
      <c r="D338" s="3"/>
      <c r="E338" s="3"/>
      <c r="F338" s="3"/>
      <c r="G338" s="3"/>
      <c r="H338" s="8"/>
      <c r="I338" s="1"/>
    </row>
    <row r="339" spans="1:9" x14ac:dyDescent="0.3">
      <c r="A339" s="19"/>
      <c r="B339" s="3"/>
      <c r="C339" s="3"/>
      <c r="D339" s="3"/>
      <c r="E339" s="3"/>
      <c r="F339" s="3"/>
      <c r="G339" s="3"/>
      <c r="H339" s="8"/>
      <c r="I339" s="1"/>
    </row>
    <row r="340" spans="1:9" x14ac:dyDescent="0.3">
      <c r="A340" s="19"/>
      <c r="B340" s="3"/>
      <c r="C340" s="3"/>
      <c r="D340" s="3"/>
      <c r="E340" s="3"/>
      <c r="F340" s="3"/>
      <c r="G340" s="3"/>
      <c r="H340" s="8"/>
      <c r="I340" s="1"/>
    </row>
    <row r="341" spans="1:9" x14ac:dyDescent="0.3">
      <c r="A341" s="19"/>
      <c r="B341" s="3"/>
      <c r="C341" s="3"/>
      <c r="D341" s="3"/>
      <c r="E341" s="3"/>
      <c r="F341" s="3"/>
      <c r="G341" s="3"/>
      <c r="H341" s="8"/>
      <c r="I341" s="1"/>
    </row>
    <row r="342" spans="1:9" x14ac:dyDescent="0.3">
      <c r="A342" s="19"/>
      <c r="B342" s="3"/>
      <c r="C342" s="3"/>
      <c r="D342" s="3"/>
      <c r="E342" s="3"/>
      <c r="F342" s="3"/>
      <c r="G342" s="3"/>
      <c r="H342" s="8"/>
      <c r="I342" s="1"/>
    </row>
    <row r="343" spans="1:9" x14ac:dyDescent="0.3">
      <c r="A343" s="19"/>
      <c r="B343" s="3"/>
      <c r="C343" s="3"/>
      <c r="D343" s="3"/>
      <c r="E343" s="3"/>
      <c r="F343" s="3"/>
      <c r="G343" s="3"/>
      <c r="H343" s="8"/>
      <c r="I343" s="1"/>
    </row>
    <row r="344" spans="1:9" x14ac:dyDescent="0.3">
      <c r="A344" s="19"/>
      <c r="B344" s="3"/>
      <c r="C344" s="4"/>
      <c r="D344" s="3"/>
      <c r="E344" s="3"/>
      <c r="F344" s="3"/>
      <c r="G344" s="3"/>
      <c r="H344" s="8"/>
      <c r="I344" s="1"/>
    </row>
    <row r="345" spans="1:9" x14ac:dyDescent="0.3">
      <c r="A345" s="19"/>
      <c r="B345" s="3"/>
      <c r="C345" s="3"/>
      <c r="D345" s="3"/>
      <c r="E345" s="3"/>
      <c r="F345" s="3"/>
      <c r="G345" s="3"/>
      <c r="H345" s="8"/>
      <c r="I345" s="1"/>
    </row>
    <row r="346" spans="1:9" x14ac:dyDescent="0.3">
      <c r="A346" s="19"/>
      <c r="B346" s="3"/>
      <c r="C346" s="3"/>
      <c r="D346" s="3"/>
      <c r="E346" s="3"/>
      <c r="F346" s="3"/>
      <c r="G346" s="3"/>
      <c r="H346" s="8"/>
      <c r="I346" s="1"/>
    </row>
    <row r="347" spans="1:9" x14ac:dyDescent="0.3">
      <c r="A347" s="19"/>
      <c r="B347" s="3"/>
      <c r="C347" s="3"/>
      <c r="D347" s="3"/>
      <c r="E347" s="3"/>
      <c r="F347" s="3"/>
      <c r="G347" s="3"/>
      <c r="H347" s="8"/>
      <c r="I347" s="1"/>
    </row>
    <row r="348" spans="1:9" x14ac:dyDescent="0.3">
      <c r="A348" s="19"/>
      <c r="B348" s="3"/>
      <c r="C348" s="3"/>
      <c r="D348" s="3"/>
      <c r="E348" s="3"/>
      <c r="F348" s="3"/>
      <c r="G348" s="3"/>
      <c r="H348" s="8"/>
      <c r="I348" s="1"/>
    </row>
    <row r="349" spans="1:9" x14ac:dyDescent="0.3">
      <c r="A349" s="19"/>
      <c r="B349" s="3"/>
      <c r="C349" s="3"/>
      <c r="D349" s="3"/>
      <c r="E349" s="3"/>
      <c r="F349" s="3"/>
      <c r="G349" s="3"/>
      <c r="H349" s="8"/>
      <c r="I349" s="1"/>
    </row>
    <row r="350" spans="1:9" x14ac:dyDescent="0.3">
      <c r="A350" s="19"/>
      <c r="B350" s="3"/>
      <c r="C350" s="3"/>
      <c r="D350" s="3"/>
      <c r="E350" s="3"/>
      <c r="F350" s="3"/>
      <c r="G350" s="3"/>
      <c r="H350" s="8"/>
      <c r="I350" s="1"/>
    </row>
    <row r="351" spans="1:9" x14ac:dyDescent="0.3">
      <c r="A351" s="19"/>
      <c r="B351" s="3"/>
      <c r="C351" s="3"/>
      <c r="D351" s="3"/>
      <c r="E351" s="3"/>
      <c r="F351" s="3"/>
      <c r="G351" s="3"/>
      <c r="H351" s="8"/>
      <c r="I351" s="1"/>
    </row>
    <row r="352" spans="1:9" x14ac:dyDescent="0.3">
      <c r="A352" s="19"/>
      <c r="B352" s="3"/>
      <c r="C352" s="3"/>
      <c r="D352" s="3"/>
      <c r="E352" s="3"/>
      <c r="F352" s="3"/>
      <c r="G352" s="3"/>
      <c r="H352" s="8"/>
      <c r="I352" s="1"/>
    </row>
    <row r="353" spans="1:9" x14ac:dyDescent="0.3">
      <c r="A353" s="19"/>
      <c r="B353" s="3"/>
      <c r="C353" s="3"/>
      <c r="D353" s="3"/>
      <c r="E353" s="3"/>
      <c r="F353" s="3"/>
      <c r="G353" s="3"/>
      <c r="H353" s="8"/>
      <c r="I353" s="1"/>
    </row>
    <row r="354" spans="1:9" x14ac:dyDescent="0.3">
      <c r="A354" s="19"/>
      <c r="B354" s="3"/>
      <c r="C354" s="3"/>
      <c r="D354" s="3"/>
      <c r="E354" s="3"/>
      <c r="F354" s="3"/>
      <c r="G354" s="3"/>
      <c r="H354" s="8"/>
      <c r="I354" s="1"/>
    </row>
    <row r="355" spans="1:9" x14ac:dyDescent="0.3">
      <c r="A355" s="19"/>
      <c r="B355" s="3"/>
      <c r="C355" s="3"/>
      <c r="D355" s="3"/>
      <c r="E355" s="3"/>
      <c r="F355" s="3"/>
      <c r="G355" s="3"/>
      <c r="H355" s="8"/>
      <c r="I355" s="1"/>
    </row>
    <row r="356" spans="1:9" x14ac:dyDescent="0.3">
      <c r="A356" s="19"/>
      <c r="B356" s="3"/>
      <c r="C356" s="3"/>
      <c r="D356" s="3"/>
      <c r="E356" s="3"/>
      <c r="F356" s="3"/>
      <c r="G356" s="3"/>
      <c r="H356" s="8"/>
      <c r="I356" s="1"/>
    </row>
    <row r="357" spans="1:9" x14ac:dyDescent="0.3">
      <c r="A357" s="19"/>
      <c r="B357" s="3"/>
      <c r="C357" s="3"/>
      <c r="D357" s="3"/>
      <c r="E357" s="3"/>
      <c r="F357" s="3"/>
      <c r="G357" s="3"/>
      <c r="H357" s="8"/>
      <c r="I357" s="1"/>
    </row>
    <row r="358" spans="1:9" x14ac:dyDescent="0.3">
      <c r="A358" s="19"/>
      <c r="B358" s="3"/>
      <c r="C358" s="3"/>
      <c r="D358" s="3"/>
      <c r="E358" s="3"/>
      <c r="F358" s="3"/>
      <c r="G358" s="3"/>
      <c r="H358" s="8"/>
      <c r="I358" s="1"/>
    </row>
    <row r="359" spans="1:9" x14ac:dyDescent="0.3">
      <c r="A359" s="19"/>
      <c r="B359" s="3"/>
      <c r="C359" s="3"/>
      <c r="D359" s="3"/>
      <c r="E359" s="3"/>
      <c r="F359" s="3"/>
      <c r="G359" s="3"/>
      <c r="H359" s="8"/>
      <c r="I359" s="1"/>
    </row>
    <row r="360" spans="1:9" x14ac:dyDescent="0.3">
      <c r="A360" s="19"/>
      <c r="B360" s="3"/>
      <c r="C360" s="3"/>
      <c r="D360" s="3"/>
      <c r="E360" s="3"/>
      <c r="F360" s="3"/>
      <c r="G360" s="3"/>
      <c r="H360" s="8"/>
      <c r="I360" s="1"/>
    </row>
    <row r="361" spans="1:9" x14ac:dyDescent="0.3">
      <c r="A361" s="19"/>
      <c r="B361" s="3"/>
      <c r="C361" s="3"/>
      <c r="D361" s="3"/>
      <c r="E361" s="3"/>
      <c r="F361" s="3"/>
      <c r="G361" s="3"/>
      <c r="H361" s="8"/>
      <c r="I361" s="1"/>
    </row>
    <row r="362" spans="1:9" x14ac:dyDescent="0.3">
      <c r="A362" s="19"/>
      <c r="B362" s="3"/>
      <c r="C362" s="3"/>
      <c r="D362" s="3"/>
      <c r="E362" s="3"/>
      <c r="F362" s="3"/>
      <c r="G362" s="3"/>
      <c r="H362" s="8"/>
      <c r="I362" s="1"/>
    </row>
    <row r="363" spans="1:9" x14ac:dyDescent="0.3">
      <c r="A363" s="19"/>
      <c r="B363" s="3"/>
      <c r="C363" s="3"/>
      <c r="D363" s="3"/>
      <c r="E363" s="3"/>
      <c r="F363" s="3"/>
      <c r="G363" s="3"/>
      <c r="H363" s="8"/>
      <c r="I363" s="1"/>
    </row>
    <row r="364" spans="1:9" x14ac:dyDescent="0.3">
      <c r="A364" s="19"/>
      <c r="B364" s="3"/>
      <c r="C364" s="3"/>
      <c r="D364" s="3"/>
      <c r="E364" s="3"/>
      <c r="F364" s="3"/>
      <c r="G364" s="3"/>
      <c r="H364" s="8"/>
      <c r="I364" s="1"/>
    </row>
    <row r="365" spans="1:9" x14ac:dyDescent="0.3">
      <c r="A365" s="19"/>
      <c r="B365" s="3"/>
      <c r="C365" s="3"/>
      <c r="D365" s="3"/>
      <c r="E365" s="3"/>
      <c r="F365" s="3"/>
      <c r="G365" s="3"/>
      <c r="H365" s="8"/>
      <c r="I365" s="1"/>
    </row>
    <row r="366" spans="1:9" x14ac:dyDescent="0.3">
      <c r="A366" s="19"/>
      <c r="B366" s="3"/>
      <c r="C366" s="3"/>
      <c r="D366" s="3"/>
      <c r="E366" s="3"/>
      <c r="F366" s="3"/>
      <c r="G366" s="3"/>
      <c r="H366" s="8"/>
      <c r="I366" s="1"/>
    </row>
    <row r="367" spans="1:9" x14ac:dyDescent="0.3">
      <c r="A367" s="19"/>
      <c r="B367" s="3"/>
      <c r="C367" s="3"/>
      <c r="D367" s="3"/>
      <c r="E367" s="3"/>
      <c r="F367" s="3"/>
      <c r="G367" s="3"/>
      <c r="H367" s="8"/>
      <c r="I367" s="1"/>
    </row>
    <row r="368" spans="1:9" x14ac:dyDescent="0.3">
      <c r="A368" s="19"/>
      <c r="B368" s="3"/>
      <c r="C368" s="3"/>
      <c r="D368" s="3"/>
      <c r="E368" s="3"/>
      <c r="F368" s="3"/>
      <c r="G368" s="3"/>
      <c r="H368" s="8"/>
      <c r="I368" s="1"/>
    </row>
    <row r="369" spans="1:9" x14ac:dyDescent="0.3">
      <c r="A369" s="19"/>
      <c r="B369" s="3"/>
      <c r="C369" s="3"/>
      <c r="D369" s="3"/>
      <c r="E369" s="3"/>
      <c r="F369" s="3"/>
      <c r="G369" s="3"/>
      <c r="H369" s="8"/>
      <c r="I369" s="1"/>
    </row>
    <row r="370" spans="1:9" x14ac:dyDescent="0.3">
      <c r="A370" s="19"/>
      <c r="B370" s="3"/>
      <c r="C370" s="3"/>
      <c r="D370" s="3"/>
      <c r="E370" s="3"/>
      <c r="F370" s="3"/>
      <c r="G370" s="3"/>
      <c r="H370" s="8"/>
      <c r="I370" s="1"/>
    </row>
    <row r="371" spans="1:9" x14ac:dyDescent="0.3">
      <c r="A371" s="19"/>
      <c r="B371" s="3"/>
      <c r="C371" s="3"/>
      <c r="D371" s="3"/>
      <c r="E371" s="3"/>
      <c r="F371" s="3"/>
      <c r="G371" s="3"/>
      <c r="H371" s="8"/>
      <c r="I371" s="1"/>
    </row>
    <row r="372" spans="1:9" x14ac:dyDescent="0.3">
      <c r="A372" s="19"/>
      <c r="B372" s="3"/>
      <c r="C372" s="3"/>
      <c r="D372" s="3"/>
      <c r="E372" s="3"/>
      <c r="F372" s="3"/>
      <c r="G372" s="3"/>
      <c r="H372" s="8"/>
      <c r="I372" s="1"/>
    </row>
    <row r="373" spans="1:9" x14ac:dyDescent="0.3">
      <c r="A373" s="19"/>
      <c r="B373" s="3"/>
      <c r="C373" s="3"/>
      <c r="D373" s="3"/>
      <c r="E373" s="3"/>
      <c r="F373" s="3"/>
      <c r="G373" s="3"/>
      <c r="H373" s="8"/>
      <c r="I373" s="1"/>
    </row>
    <row r="374" spans="1:9" x14ac:dyDescent="0.3">
      <c r="A374" s="19"/>
      <c r="B374" s="3"/>
      <c r="C374" s="3"/>
      <c r="D374" s="3"/>
      <c r="E374" s="3"/>
      <c r="F374" s="3"/>
      <c r="G374" s="3"/>
      <c r="H374" s="8"/>
      <c r="I374" s="1"/>
    </row>
    <row r="375" spans="1:9" x14ac:dyDescent="0.3">
      <c r="A375" s="19"/>
      <c r="B375" s="3"/>
      <c r="C375" s="3"/>
      <c r="D375" s="3"/>
      <c r="E375" s="3"/>
      <c r="F375" s="3"/>
      <c r="G375" s="3"/>
      <c r="H375" s="8"/>
      <c r="I375" s="1"/>
    </row>
    <row r="376" spans="1:9" x14ac:dyDescent="0.3">
      <c r="A376" s="19"/>
      <c r="B376" s="3"/>
      <c r="C376" s="3"/>
      <c r="D376" s="3"/>
      <c r="E376" s="3"/>
      <c r="F376" s="3"/>
      <c r="G376" s="3"/>
      <c r="H376" s="8"/>
      <c r="I376" s="1"/>
    </row>
    <row r="377" spans="1:9" x14ac:dyDescent="0.3">
      <c r="A377" s="19"/>
      <c r="B377" s="3"/>
      <c r="C377" s="3"/>
      <c r="D377" s="3"/>
      <c r="E377" s="3"/>
      <c r="F377" s="3"/>
      <c r="G377" s="3"/>
      <c r="H377" s="8"/>
      <c r="I377" s="1"/>
    </row>
    <row r="378" spans="1:9" x14ac:dyDescent="0.3">
      <c r="A378" s="19"/>
      <c r="B378" s="3"/>
      <c r="C378" s="3"/>
      <c r="D378" s="3"/>
      <c r="E378" s="3"/>
      <c r="F378" s="3"/>
      <c r="G378" s="3"/>
      <c r="H378" s="8"/>
      <c r="I378" s="1"/>
    </row>
    <row r="379" spans="1:9" x14ac:dyDescent="0.3">
      <c r="A379" s="19"/>
      <c r="B379" s="3"/>
      <c r="C379" s="3"/>
      <c r="D379" s="3"/>
      <c r="E379" s="3"/>
      <c r="F379" s="3"/>
      <c r="G379" s="3"/>
      <c r="H379" s="8"/>
      <c r="I379" s="1"/>
    </row>
    <row r="380" spans="1:9" x14ac:dyDescent="0.3">
      <c r="A380" s="19"/>
      <c r="B380" s="3"/>
      <c r="C380" s="3"/>
      <c r="D380" s="3"/>
      <c r="E380" s="3"/>
      <c r="F380" s="3"/>
      <c r="G380" s="3"/>
      <c r="H380" s="8"/>
      <c r="I380" s="1"/>
    </row>
    <row r="381" spans="1:9" x14ac:dyDescent="0.3">
      <c r="A381" s="19"/>
      <c r="B381" s="3"/>
      <c r="C381" s="3"/>
      <c r="D381" s="3"/>
      <c r="E381" s="3"/>
      <c r="F381" s="3"/>
      <c r="G381" s="3"/>
      <c r="H381" s="8"/>
      <c r="I381" s="1"/>
    </row>
    <row r="382" spans="1:9" x14ac:dyDescent="0.3">
      <c r="A382" s="19"/>
      <c r="B382" s="3"/>
      <c r="C382" s="3"/>
      <c r="D382" s="3"/>
      <c r="E382" s="3"/>
      <c r="F382" s="3"/>
      <c r="G382" s="3"/>
      <c r="H382" s="8"/>
      <c r="I382" s="1"/>
    </row>
    <row r="383" spans="1:9" x14ac:dyDescent="0.3">
      <c r="A383" s="19"/>
      <c r="B383" s="3"/>
      <c r="C383" s="3"/>
      <c r="D383" s="3"/>
      <c r="E383" s="3"/>
      <c r="F383" s="3"/>
      <c r="G383" s="3"/>
      <c r="H383" s="8"/>
      <c r="I383" s="1"/>
    </row>
    <row r="384" spans="1:9" x14ac:dyDescent="0.3">
      <c r="A384" s="19"/>
      <c r="B384" s="3"/>
      <c r="C384" s="3"/>
      <c r="D384" s="3"/>
      <c r="E384" s="3"/>
      <c r="F384" s="3"/>
      <c r="G384" s="3"/>
      <c r="H384" s="8"/>
      <c r="I384" s="1"/>
    </row>
    <row r="385" spans="1:9" x14ac:dyDescent="0.3">
      <c r="A385" s="19"/>
      <c r="B385" s="3"/>
      <c r="C385" s="3"/>
      <c r="D385" s="3"/>
      <c r="E385" s="3"/>
      <c r="F385" s="3"/>
      <c r="G385" s="3"/>
      <c r="H385" s="8"/>
      <c r="I385" s="1"/>
    </row>
    <row r="386" spans="1:9" x14ac:dyDescent="0.3">
      <c r="A386" s="19"/>
      <c r="B386" s="3"/>
      <c r="C386" s="3"/>
      <c r="D386" s="3"/>
      <c r="E386" s="3"/>
      <c r="F386" s="3"/>
      <c r="G386" s="3"/>
      <c r="H386" s="8"/>
      <c r="I386" s="1"/>
    </row>
    <row r="387" spans="1:9" x14ac:dyDescent="0.3">
      <c r="A387" s="19"/>
      <c r="B387" s="3"/>
      <c r="C387" s="3"/>
      <c r="D387" s="3"/>
      <c r="E387" s="3"/>
      <c r="F387" s="3"/>
      <c r="G387" s="3"/>
      <c r="H387" s="8"/>
      <c r="I387" s="1"/>
    </row>
    <row r="388" spans="1:9" x14ac:dyDescent="0.3">
      <c r="A388" s="19"/>
      <c r="B388" s="3"/>
      <c r="C388" s="3"/>
      <c r="D388" s="3"/>
      <c r="E388" s="3"/>
      <c r="F388" s="3"/>
      <c r="G388" s="3"/>
      <c r="H388" s="8"/>
      <c r="I388" s="1"/>
    </row>
    <row r="389" spans="1:9" x14ac:dyDescent="0.3">
      <c r="A389" s="19"/>
      <c r="B389" s="3"/>
      <c r="C389" s="3"/>
      <c r="D389" s="3"/>
      <c r="E389" s="3"/>
      <c r="F389" s="3"/>
      <c r="G389" s="3"/>
      <c r="H389" s="8"/>
      <c r="I389" s="1"/>
    </row>
    <row r="390" spans="1:9" x14ac:dyDescent="0.3">
      <c r="A390" s="19"/>
      <c r="B390" s="3"/>
      <c r="C390" s="3"/>
      <c r="D390" s="3"/>
      <c r="E390" s="3"/>
      <c r="F390" s="3"/>
      <c r="G390" s="3"/>
      <c r="H390" s="8"/>
      <c r="I390" s="1"/>
    </row>
    <row r="391" spans="1:9" x14ac:dyDescent="0.3">
      <c r="A391" s="19"/>
      <c r="B391" s="3"/>
      <c r="C391" s="3"/>
      <c r="D391" s="3"/>
      <c r="E391" s="3"/>
      <c r="F391" s="3"/>
      <c r="G391" s="3"/>
      <c r="H391" s="8"/>
      <c r="I391" s="1"/>
    </row>
    <row r="392" spans="1:9" x14ac:dyDescent="0.3">
      <c r="A392" s="19"/>
      <c r="B392" s="3"/>
      <c r="C392" s="3"/>
      <c r="D392" s="3"/>
      <c r="E392" s="3"/>
      <c r="F392" s="3"/>
      <c r="G392" s="3"/>
      <c r="H392" s="8"/>
      <c r="I392" s="1"/>
    </row>
    <row r="393" spans="1:9" x14ac:dyDescent="0.3">
      <c r="A393" s="19"/>
      <c r="B393" s="3"/>
      <c r="C393" s="3"/>
      <c r="D393" s="3"/>
      <c r="E393" s="3"/>
      <c r="F393" s="3"/>
      <c r="G393" s="3"/>
      <c r="H393" s="8"/>
      <c r="I393" s="1"/>
    </row>
    <row r="394" spans="1:9" x14ac:dyDescent="0.3">
      <c r="A394" s="19"/>
      <c r="B394" s="3"/>
      <c r="C394" s="3"/>
      <c r="D394" s="3"/>
      <c r="E394" s="3"/>
      <c r="F394" s="3"/>
      <c r="G394" s="3"/>
      <c r="H394" s="8"/>
      <c r="I394" s="1"/>
    </row>
    <row r="395" spans="1:9" x14ac:dyDescent="0.3">
      <c r="A395" s="19"/>
      <c r="B395" s="3"/>
      <c r="C395" s="3"/>
      <c r="D395" s="3"/>
      <c r="E395" s="3"/>
      <c r="F395" s="3"/>
      <c r="G395" s="3"/>
      <c r="H395" s="8"/>
      <c r="I395" s="1"/>
    </row>
    <row r="396" spans="1:9" x14ac:dyDescent="0.3">
      <c r="A396" s="19"/>
      <c r="B396" s="3"/>
      <c r="C396" s="3"/>
      <c r="D396" s="3"/>
      <c r="E396" s="3"/>
      <c r="F396" s="3"/>
      <c r="G396" s="3"/>
      <c r="H396" s="8"/>
      <c r="I396" s="1"/>
    </row>
    <row r="397" spans="1:9" x14ac:dyDescent="0.3">
      <c r="A397" s="19"/>
      <c r="B397" s="3"/>
      <c r="C397" s="3"/>
      <c r="D397" s="3"/>
      <c r="E397" s="3"/>
      <c r="F397" s="3"/>
      <c r="G397" s="3"/>
      <c r="H397" s="8"/>
      <c r="I397" s="1"/>
    </row>
    <row r="398" spans="1:9" x14ac:dyDescent="0.3">
      <c r="A398" s="19"/>
      <c r="B398" s="3"/>
      <c r="C398" s="3"/>
      <c r="D398" s="3"/>
      <c r="E398" s="3"/>
      <c r="F398" s="3"/>
      <c r="G398" s="3"/>
      <c r="H398" s="8"/>
      <c r="I398" s="1"/>
    </row>
    <row r="399" spans="1:9" x14ac:dyDescent="0.3">
      <c r="A399" s="19"/>
      <c r="B399" s="3"/>
      <c r="C399" s="3"/>
      <c r="D399" s="3"/>
      <c r="E399" s="3"/>
      <c r="F399" s="3"/>
      <c r="G399" s="3"/>
      <c r="H399" s="8"/>
      <c r="I399" s="1"/>
    </row>
    <row r="400" spans="1:9" x14ac:dyDescent="0.3">
      <c r="A400" s="19"/>
      <c r="B400" s="3"/>
      <c r="C400" s="3"/>
      <c r="D400" s="3"/>
      <c r="E400" s="3"/>
      <c r="F400" s="3"/>
      <c r="G400" s="3"/>
      <c r="H400" s="8"/>
      <c r="I400" s="1"/>
    </row>
    <row r="401" spans="1:9" x14ac:dyDescent="0.3">
      <c r="A401" s="19"/>
      <c r="B401" s="3"/>
      <c r="C401" s="3"/>
      <c r="D401" s="3"/>
      <c r="E401" s="3"/>
      <c r="F401" s="3"/>
      <c r="G401" s="3"/>
      <c r="H401" s="8"/>
      <c r="I401" s="1"/>
    </row>
    <row r="402" spans="1:9" x14ac:dyDescent="0.3">
      <c r="A402" s="19"/>
      <c r="B402" s="3"/>
      <c r="C402" s="3"/>
      <c r="D402" s="3"/>
      <c r="E402" s="3"/>
      <c r="F402" s="3"/>
      <c r="G402" s="3"/>
      <c r="H402" s="8"/>
      <c r="I402" s="1"/>
    </row>
    <row r="403" spans="1:9" x14ac:dyDescent="0.3">
      <c r="A403" s="19"/>
      <c r="B403" s="3"/>
      <c r="C403" s="3"/>
      <c r="D403" s="3"/>
      <c r="E403" s="3"/>
      <c r="F403" s="3"/>
      <c r="G403" s="3"/>
      <c r="H403" s="8"/>
      <c r="I403" s="1"/>
    </row>
    <row r="404" spans="1:9" x14ac:dyDescent="0.3">
      <c r="A404" s="19"/>
      <c r="B404" s="3"/>
      <c r="C404" s="3"/>
      <c r="D404" s="3"/>
      <c r="E404" s="3"/>
      <c r="F404" s="3"/>
      <c r="G404" s="3"/>
      <c r="H404" s="8"/>
      <c r="I404" s="1"/>
    </row>
    <row r="405" spans="1:9" x14ac:dyDescent="0.3">
      <c r="A405" s="19"/>
      <c r="B405" s="3"/>
      <c r="C405" s="3"/>
      <c r="D405" s="3"/>
      <c r="E405" s="3"/>
      <c r="F405" s="3"/>
      <c r="G405" s="3"/>
      <c r="H405" s="8"/>
      <c r="I405" s="1"/>
    </row>
    <row r="406" spans="1:9" x14ac:dyDescent="0.3">
      <c r="A406" s="19"/>
      <c r="B406" s="3"/>
      <c r="C406" s="3"/>
      <c r="D406" s="3"/>
      <c r="E406" s="3"/>
      <c r="F406" s="3"/>
      <c r="G406" s="3"/>
      <c r="H406" s="8"/>
      <c r="I406" s="1"/>
    </row>
    <row r="407" spans="1:9" x14ac:dyDescent="0.3">
      <c r="A407" s="19"/>
      <c r="B407" s="3"/>
      <c r="C407" s="3"/>
      <c r="D407" s="3"/>
      <c r="E407" s="3"/>
      <c r="F407" s="3"/>
      <c r="G407" s="3"/>
      <c r="H407" s="8"/>
      <c r="I407" s="1"/>
    </row>
    <row r="408" spans="1:9" x14ac:dyDescent="0.3">
      <c r="A408" s="19"/>
      <c r="B408" s="3"/>
      <c r="C408" s="3"/>
      <c r="D408" s="3"/>
      <c r="E408" s="3"/>
      <c r="F408" s="3"/>
      <c r="G408" s="3"/>
      <c r="H408" s="8"/>
      <c r="I408" s="1"/>
    </row>
    <row r="409" spans="1:9" x14ac:dyDescent="0.3">
      <c r="A409" s="19"/>
      <c r="B409" s="3"/>
      <c r="C409" s="3"/>
      <c r="D409" s="3"/>
      <c r="E409" s="3"/>
      <c r="F409" s="3"/>
      <c r="G409" s="3"/>
      <c r="H409" s="8"/>
      <c r="I409" s="1"/>
    </row>
    <row r="410" spans="1:9" x14ac:dyDescent="0.3">
      <c r="A410" s="19"/>
      <c r="B410" s="3"/>
      <c r="C410" s="3"/>
      <c r="D410" s="3"/>
      <c r="E410" s="3"/>
      <c r="F410" s="3"/>
      <c r="G410" s="3"/>
      <c r="H410" s="8"/>
      <c r="I410" s="1"/>
    </row>
    <row r="411" spans="1:9" x14ac:dyDescent="0.3">
      <c r="A411" s="19"/>
      <c r="B411" s="3"/>
      <c r="C411" s="3"/>
      <c r="D411" s="3"/>
      <c r="E411" s="3"/>
      <c r="F411" s="3"/>
      <c r="G411" s="3"/>
      <c r="H411" s="8"/>
      <c r="I411" s="1"/>
    </row>
    <row r="412" spans="1:9" x14ac:dyDescent="0.3">
      <c r="A412" s="19"/>
      <c r="B412" s="3"/>
      <c r="C412" s="3"/>
      <c r="D412" s="3"/>
      <c r="E412" s="3"/>
      <c r="F412" s="3"/>
      <c r="G412" s="3"/>
      <c r="H412" s="8"/>
      <c r="I412" s="1"/>
    </row>
    <row r="413" spans="1:9" x14ac:dyDescent="0.3">
      <c r="A413" s="19"/>
      <c r="B413" s="3"/>
      <c r="C413" s="3"/>
      <c r="D413" s="3"/>
      <c r="E413" s="3"/>
      <c r="F413" s="3"/>
      <c r="G413" s="3"/>
      <c r="H413" s="8"/>
      <c r="I413" s="1"/>
    </row>
    <row r="414" spans="1:9" x14ac:dyDescent="0.3">
      <c r="A414" s="19"/>
      <c r="B414" s="3"/>
      <c r="C414" s="3"/>
      <c r="D414" s="3"/>
      <c r="E414" s="3"/>
      <c r="F414" s="3"/>
      <c r="G414" s="3"/>
      <c r="H414" s="8"/>
      <c r="I414" s="1"/>
    </row>
    <row r="415" spans="1:9" x14ac:dyDescent="0.3">
      <c r="A415" s="19"/>
      <c r="B415" s="3"/>
      <c r="C415" s="3"/>
      <c r="D415" s="3"/>
      <c r="E415" s="3"/>
      <c r="F415" s="3"/>
      <c r="G415" s="3"/>
      <c r="H415" s="8"/>
      <c r="I415" s="1"/>
    </row>
    <row r="416" spans="1:9" x14ac:dyDescent="0.3">
      <c r="A416" s="19"/>
      <c r="B416" s="3"/>
      <c r="C416" s="3"/>
      <c r="D416" s="3"/>
      <c r="E416" s="3"/>
      <c r="F416" s="3"/>
      <c r="G416" s="3"/>
      <c r="H416" s="8"/>
      <c r="I416" s="1"/>
    </row>
    <row r="417" spans="1:9" x14ac:dyDescent="0.3">
      <c r="A417" s="19"/>
      <c r="B417" s="3"/>
      <c r="C417" s="3"/>
      <c r="D417" s="3"/>
      <c r="E417" s="3"/>
      <c r="F417" s="3"/>
      <c r="G417" s="3"/>
      <c r="H417" s="8"/>
      <c r="I417" s="1"/>
    </row>
    <row r="418" spans="1:9" x14ac:dyDescent="0.3">
      <c r="A418" s="19"/>
      <c r="B418" s="3"/>
      <c r="C418" s="3"/>
      <c r="D418" s="3"/>
      <c r="E418" s="3"/>
      <c r="F418" s="3"/>
      <c r="G418" s="3"/>
      <c r="H418" s="8"/>
      <c r="I418" s="1"/>
    </row>
    <row r="419" spans="1:9" x14ac:dyDescent="0.3">
      <c r="A419" s="19"/>
      <c r="B419" s="3"/>
      <c r="C419" s="3"/>
      <c r="D419" s="3"/>
      <c r="E419" s="3"/>
      <c r="F419" s="3"/>
      <c r="G419" s="3"/>
      <c r="H419" s="8"/>
      <c r="I419" s="1"/>
    </row>
    <row r="420" spans="1:9" x14ac:dyDescent="0.3">
      <c r="A420" s="19"/>
      <c r="B420" s="3"/>
      <c r="C420" s="3"/>
      <c r="D420" s="3"/>
      <c r="E420" s="3"/>
      <c r="F420" s="3"/>
      <c r="G420" s="3"/>
      <c r="H420" s="8"/>
      <c r="I420" s="1"/>
    </row>
    <row r="421" spans="1:9" x14ac:dyDescent="0.3">
      <c r="A421" s="19"/>
      <c r="B421" s="3"/>
      <c r="C421" s="3"/>
      <c r="D421" s="3"/>
      <c r="E421" s="3"/>
      <c r="F421" s="3"/>
      <c r="G421" s="3"/>
      <c r="H421" s="8"/>
      <c r="I421" s="1"/>
    </row>
    <row r="422" spans="1:9" x14ac:dyDescent="0.3">
      <c r="A422" s="19"/>
      <c r="B422" s="3"/>
      <c r="C422" s="3"/>
      <c r="D422" s="3"/>
      <c r="E422" s="3"/>
      <c r="F422" s="3"/>
      <c r="G422" s="3"/>
      <c r="H422" s="8"/>
      <c r="I422" s="1"/>
    </row>
    <row r="423" spans="1:9" x14ac:dyDescent="0.3">
      <c r="A423" s="19"/>
      <c r="B423" s="3"/>
      <c r="C423" s="3"/>
      <c r="D423" s="3"/>
      <c r="E423" s="3"/>
      <c r="F423" s="3"/>
      <c r="G423" s="3"/>
      <c r="H423" s="8"/>
      <c r="I423" s="1"/>
    </row>
    <row r="424" spans="1:9" x14ac:dyDescent="0.3">
      <c r="A424" s="19"/>
      <c r="B424" s="3"/>
      <c r="C424" s="3"/>
      <c r="D424" s="3"/>
      <c r="E424" s="3"/>
      <c r="F424" s="3"/>
      <c r="G424" s="3"/>
      <c r="H424" s="8"/>
      <c r="I424" s="1"/>
    </row>
    <row r="425" spans="1:9" x14ac:dyDescent="0.3">
      <c r="A425" s="19"/>
      <c r="B425" s="3"/>
      <c r="C425" s="3"/>
      <c r="D425" s="3"/>
      <c r="E425" s="3"/>
      <c r="F425" s="3"/>
      <c r="G425" s="3"/>
      <c r="H425" s="8"/>
      <c r="I425" s="1"/>
    </row>
    <row r="426" spans="1:9" x14ac:dyDescent="0.3">
      <c r="A426" s="19"/>
      <c r="B426" s="3"/>
      <c r="C426" s="3"/>
      <c r="D426" s="3"/>
      <c r="E426" s="3"/>
      <c r="F426" s="3"/>
      <c r="G426" s="3"/>
      <c r="H426" s="8"/>
      <c r="I426" s="1"/>
    </row>
    <row r="427" spans="1:9" x14ac:dyDescent="0.3">
      <c r="A427" s="19"/>
      <c r="B427" s="3"/>
      <c r="C427" s="3"/>
      <c r="D427" s="3"/>
      <c r="E427" s="3"/>
      <c r="F427" s="3"/>
      <c r="G427" s="3"/>
      <c r="H427" s="8"/>
      <c r="I427" s="1"/>
    </row>
    <row r="428" spans="1:9" x14ac:dyDescent="0.3">
      <c r="A428" s="19"/>
      <c r="B428" s="3"/>
      <c r="C428" s="3"/>
      <c r="D428" s="3"/>
      <c r="E428" s="3"/>
      <c r="F428" s="3"/>
      <c r="G428" s="3"/>
      <c r="H428" s="8"/>
      <c r="I428" s="1"/>
    </row>
    <row r="429" spans="1:9" x14ac:dyDescent="0.3">
      <c r="A429" s="19"/>
      <c r="B429" s="3"/>
      <c r="C429" s="3"/>
      <c r="D429" s="3"/>
      <c r="E429" s="3"/>
      <c r="F429" s="3"/>
      <c r="G429" s="3"/>
      <c r="H429" s="8"/>
      <c r="I429" s="1"/>
    </row>
    <row r="430" spans="1:9" x14ac:dyDescent="0.3">
      <c r="A430" s="19"/>
      <c r="B430" s="3"/>
      <c r="C430" s="3"/>
      <c r="D430" s="3"/>
      <c r="E430" s="3"/>
      <c r="F430" s="3"/>
      <c r="G430" s="3"/>
      <c r="H430" s="8"/>
      <c r="I430" s="1"/>
    </row>
    <row r="431" spans="1:9" x14ac:dyDescent="0.3">
      <c r="A431" s="19"/>
      <c r="B431" s="3"/>
      <c r="C431" s="3"/>
      <c r="D431" s="3"/>
      <c r="E431" s="3"/>
      <c r="F431" s="3"/>
      <c r="G431" s="3"/>
      <c r="H431" s="8"/>
      <c r="I431" s="1"/>
    </row>
    <row r="432" spans="1:9" x14ac:dyDescent="0.3">
      <c r="A432" s="19"/>
      <c r="B432" s="3"/>
      <c r="C432" s="3"/>
      <c r="D432" s="3"/>
      <c r="E432" s="3"/>
      <c r="F432" s="3"/>
      <c r="G432" s="3"/>
      <c r="H432" s="8"/>
      <c r="I432" s="1"/>
    </row>
    <row r="433" spans="1:9" x14ac:dyDescent="0.3">
      <c r="A433" s="19"/>
      <c r="B433" s="3"/>
      <c r="C433" s="3"/>
      <c r="D433" s="3"/>
      <c r="E433" s="3"/>
      <c r="F433" s="3"/>
      <c r="G433" s="3"/>
      <c r="H433" s="8"/>
      <c r="I433" s="1"/>
    </row>
    <row r="434" spans="1:9" x14ac:dyDescent="0.3">
      <c r="A434" s="19"/>
      <c r="B434" s="3"/>
      <c r="C434" s="3"/>
      <c r="D434" s="3"/>
      <c r="E434" s="3"/>
      <c r="F434" s="3"/>
      <c r="G434" s="3"/>
      <c r="H434" s="8"/>
      <c r="I434" s="1"/>
    </row>
    <row r="435" spans="1:9" x14ac:dyDescent="0.3">
      <c r="A435" s="19"/>
      <c r="B435" s="3"/>
      <c r="C435" s="5"/>
      <c r="D435" s="5"/>
      <c r="E435" s="5"/>
      <c r="F435" s="5"/>
      <c r="G435" s="3"/>
      <c r="H435" s="11"/>
      <c r="I435" s="1"/>
    </row>
    <row r="436" spans="1:9" x14ac:dyDescent="0.3">
      <c r="A436" s="19"/>
      <c r="B436" s="3"/>
      <c r="C436" s="5"/>
      <c r="D436" s="5"/>
      <c r="E436" s="5"/>
      <c r="F436" s="5"/>
      <c r="G436" s="3"/>
      <c r="H436" s="11"/>
      <c r="I436" s="1"/>
    </row>
    <row r="437" spans="1:9" x14ac:dyDescent="0.3">
      <c r="A437" s="19"/>
      <c r="B437" s="3"/>
      <c r="C437" s="5"/>
      <c r="D437" s="5"/>
      <c r="E437" s="5"/>
      <c r="F437" s="5"/>
      <c r="G437" s="3"/>
      <c r="H437" s="11"/>
      <c r="I437" s="1"/>
    </row>
    <row r="438" spans="1:9" x14ac:dyDescent="0.3">
      <c r="A438" s="19"/>
      <c r="B438" s="3"/>
      <c r="C438" s="5"/>
      <c r="D438" s="5"/>
      <c r="E438" s="5"/>
      <c r="F438" s="5"/>
      <c r="G438" s="3"/>
      <c r="H438" s="11"/>
      <c r="I438" s="1"/>
    </row>
    <row r="439" spans="1:9" x14ac:dyDescent="0.3">
      <c r="A439" s="19"/>
      <c r="B439" s="3"/>
      <c r="C439" s="5"/>
      <c r="D439" s="5"/>
      <c r="E439" s="5"/>
      <c r="F439" s="5"/>
      <c r="G439" s="3"/>
      <c r="H439" s="11"/>
      <c r="I439" s="1"/>
    </row>
    <row r="440" spans="1:9" x14ac:dyDescent="0.3">
      <c r="A440" s="19"/>
      <c r="B440" s="3"/>
      <c r="C440" s="5"/>
      <c r="D440" s="5"/>
      <c r="E440" s="5"/>
      <c r="F440" s="5"/>
      <c r="G440" s="3"/>
      <c r="H440" s="11"/>
      <c r="I440" s="1"/>
    </row>
    <row r="441" spans="1:9" x14ac:dyDescent="0.3">
      <c r="A441" s="19"/>
      <c r="B441" s="3"/>
      <c r="C441" s="5"/>
      <c r="D441" s="5"/>
      <c r="E441" s="5"/>
      <c r="F441" s="5"/>
      <c r="G441" s="3"/>
      <c r="H441" s="11"/>
      <c r="I441" s="1"/>
    </row>
    <row r="442" spans="1:9" x14ac:dyDescent="0.3">
      <c r="A442" s="19"/>
      <c r="B442" s="3"/>
      <c r="C442" s="5"/>
      <c r="D442" s="5"/>
      <c r="E442" s="5"/>
      <c r="F442" s="5"/>
      <c r="G442" s="3"/>
      <c r="H442" s="11"/>
      <c r="I442" s="1"/>
    </row>
    <row r="443" spans="1:9" x14ac:dyDescent="0.3">
      <c r="A443" s="19"/>
      <c r="B443" s="3"/>
      <c r="C443" s="5"/>
      <c r="D443" s="5"/>
      <c r="E443" s="5"/>
      <c r="F443" s="5"/>
      <c r="G443" s="3"/>
      <c r="H443" s="11"/>
      <c r="I443" s="1"/>
    </row>
    <row r="444" spans="1:9" x14ac:dyDescent="0.3">
      <c r="A444" s="19"/>
      <c r="B444" s="3"/>
      <c r="C444" s="5"/>
      <c r="D444" s="5"/>
      <c r="E444" s="5"/>
      <c r="F444" s="5"/>
      <c r="G444" s="3"/>
      <c r="H444" s="11"/>
      <c r="I444" s="1"/>
    </row>
    <row r="445" spans="1:9" x14ac:dyDescent="0.3">
      <c r="A445" s="19"/>
      <c r="B445" s="3"/>
      <c r="C445" s="5"/>
      <c r="D445" s="5"/>
      <c r="E445" s="5"/>
      <c r="F445" s="5"/>
      <c r="G445" s="3"/>
      <c r="H445" s="11"/>
      <c r="I445" s="1"/>
    </row>
    <row r="446" spans="1:9" x14ac:dyDescent="0.3">
      <c r="A446" s="19"/>
      <c r="B446" s="3"/>
      <c r="C446" s="5"/>
      <c r="D446" s="5"/>
      <c r="E446" s="5"/>
      <c r="F446" s="5"/>
      <c r="G446" s="3"/>
      <c r="H446" s="11"/>
      <c r="I446" s="1"/>
    </row>
    <row r="447" spans="1:9" x14ac:dyDescent="0.3">
      <c r="A447" s="19"/>
      <c r="B447" s="3"/>
      <c r="C447" s="5"/>
      <c r="D447" s="5"/>
      <c r="E447" s="5"/>
      <c r="F447" s="5"/>
      <c r="G447" s="3"/>
      <c r="H447" s="11"/>
      <c r="I447" s="1"/>
    </row>
    <row r="448" spans="1:9" x14ac:dyDescent="0.3">
      <c r="A448" s="19"/>
      <c r="B448" s="3"/>
      <c r="C448" s="5"/>
      <c r="D448" s="5"/>
      <c r="E448" s="5"/>
      <c r="F448" s="5"/>
      <c r="G448" s="3"/>
      <c r="H448" s="11"/>
      <c r="I448" s="1"/>
    </row>
    <row r="449" spans="1:9" x14ac:dyDescent="0.3">
      <c r="A449" s="19"/>
      <c r="B449" s="3"/>
      <c r="C449" s="5"/>
      <c r="D449" s="5"/>
      <c r="E449" s="5"/>
      <c r="F449" s="5"/>
      <c r="G449" s="3"/>
      <c r="H449" s="11"/>
      <c r="I449" s="1"/>
    </row>
    <row r="450" spans="1:9" x14ac:dyDescent="0.3">
      <c r="A450" s="19"/>
      <c r="B450" s="3"/>
      <c r="C450" s="5"/>
      <c r="D450" s="5"/>
      <c r="E450" s="5"/>
      <c r="F450" s="5"/>
      <c r="G450" s="3"/>
      <c r="H450" s="11"/>
      <c r="I450" s="1"/>
    </row>
    <row r="451" spans="1:9" x14ac:dyDescent="0.3">
      <c r="A451" s="19"/>
      <c r="B451" s="3"/>
      <c r="C451" s="5"/>
      <c r="D451" s="5"/>
      <c r="E451" s="5"/>
      <c r="F451" s="5"/>
      <c r="G451" s="3"/>
      <c r="H451" s="11"/>
      <c r="I451" s="1"/>
    </row>
    <row r="452" spans="1:9" x14ac:dyDescent="0.3">
      <c r="A452" s="19"/>
      <c r="B452" s="3"/>
      <c r="C452" s="1"/>
      <c r="D452" s="1"/>
      <c r="E452" s="1"/>
      <c r="F452" s="1"/>
      <c r="G452" s="3"/>
      <c r="H452" s="9"/>
      <c r="I452" s="1"/>
    </row>
    <row r="453" spans="1:9" x14ac:dyDescent="0.3">
      <c r="A453" s="19"/>
      <c r="B453" s="3"/>
      <c r="C453" s="1"/>
      <c r="D453" s="1"/>
      <c r="E453" s="1"/>
      <c r="F453" s="1"/>
      <c r="G453" s="3"/>
      <c r="H453" s="9"/>
      <c r="I453" s="1"/>
    </row>
    <row r="454" spans="1:9" x14ac:dyDescent="0.3">
      <c r="A454" s="19"/>
      <c r="B454" s="3"/>
      <c r="C454" s="1"/>
      <c r="D454" s="1"/>
      <c r="E454" s="1"/>
      <c r="F454" s="1"/>
      <c r="G454" s="3"/>
      <c r="H454" s="9"/>
      <c r="I454" s="1"/>
    </row>
    <row r="455" spans="1:9" x14ac:dyDescent="0.3">
      <c r="A455" s="19"/>
      <c r="B455" s="3"/>
      <c r="C455" s="1"/>
      <c r="D455" s="1"/>
      <c r="E455" s="1"/>
      <c r="F455" s="1"/>
      <c r="G455" s="3"/>
      <c r="H455" s="9"/>
      <c r="I455" s="1"/>
    </row>
    <row r="456" spans="1:9" x14ac:dyDescent="0.3">
      <c r="A456" s="19"/>
      <c r="B456" s="3"/>
      <c r="C456" s="1"/>
      <c r="D456" s="1"/>
      <c r="E456" s="1"/>
      <c r="F456" s="1"/>
      <c r="G456" s="3"/>
      <c r="H456" s="9"/>
      <c r="I456" s="1"/>
    </row>
    <row r="457" spans="1:9" x14ac:dyDescent="0.3">
      <c r="A457" s="19"/>
      <c r="B457" s="3"/>
      <c r="C457" s="1"/>
      <c r="D457" s="1"/>
      <c r="E457" s="1"/>
      <c r="F457" s="1"/>
      <c r="G457" s="3"/>
      <c r="H457" s="9"/>
      <c r="I457" s="1"/>
    </row>
    <row r="458" spans="1:9" x14ac:dyDescent="0.3">
      <c r="A458" s="19"/>
      <c r="B458" s="3"/>
      <c r="C458" s="1"/>
      <c r="D458" s="1"/>
      <c r="E458" s="1"/>
      <c r="F458" s="1"/>
      <c r="G458" s="3"/>
      <c r="H458" s="9"/>
      <c r="I458" s="1"/>
    </row>
    <row r="459" spans="1:9" x14ac:dyDescent="0.3">
      <c r="A459" s="19"/>
      <c r="B459" s="3"/>
      <c r="C459" s="1"/>
      <c r="D459" s="1"/>
      <c r="E459" s="1"/>
      <c r="F459" s="1"/>
      <c r="G459" s="3"/>
      <c r="H459" s="9"/>
      <c r="I459" s="1"/>
    </row>
    <row r="460" spans="1:9" x14ac:dyDescent="0.3">
      <c r="A460" s="19"/>
      <c r="B460" s="3"/>
      <c r="C460" s="1"/>
      <c r="D460" s="1"/>
      <c r="E460" s="1"/>
      <c r="F460" s="1"/>
      <c r="G460" s="3"/>
      <c r="H460" s="9"/>
      <c r="I460" s="1"/>
    </row>
    <row r="461" spans="1:9" x14ac:dyDescent="0.3">
      <c r="A461" s="19"/>
      <c r="B461" s="3"/>
      <c r="C461" s="1"/>
      <c r="D461" s="1"/>
      <c r="E461" s="1"/>
      <c r="F461" s="1"/>
      <c r="G461" s="3"/>
      <c r="H461" s="9"/>
      <c r="I461" s="1"/>
    </row>
    <row r="462" spans="1:9" x14ac:dyDescent="0.3">
      <c r="A462" s="19"/>
      <c r="B462" s="3"/>
      <c r="C462" s="1"/>
      <c r="D462" s="1"/>
      <c r="E462" s="1"/>
      <c r="F462" s="1"/>
      <c r="G462" s="3"/>
      <c r="H462" s="9"/>
      <c r="I462" s="1"/>
    </row>
    <row r="463" spans="1:9" x14ac:dyDescent="0.3">
      <c r="A463" s="19"/>
      <c r="B463" s="3"/>
      <c r="C463" s="1"/>
      <c r="D463" s="1"/>
      <c r="E463" s="1"/>
      <c r="F463" s="1"/>
      <c r="G463" s="3"/>
      <c r="H463" s="9"/>
      <c r="I463" s="1"/>
    </row>
    <row r="464" spans="1:9" x14ac:dyDescent="0.3">
      <c r="A464" s="19"/>
      <c r="B464" s="3"/>
      <c r="C464" s="1"/>
      <c r="D464" s="1"/>
      <c r="E464" s="1"/>
      <c r="F464" s="1"/>
      <c r="G464" s="3"/>
      <c r="H464" s="9"/>
      <c r="I464" s="1"/>
    </row>
    <row r="465" spans="1:9" x14ac:dyDescent="0.3">
      <c r="A465" s="19"/>
      <c r="B465" s="3"/>
      <c r="C465" s="1"/>
      <c r="D465" s="1"/>
      <c r="E465" s="1"/>
      <c r="F465" s="1"/>
      <c r="G465" s="3"/>
      <c r="H465" s="9"/>
      <c r="I465" s="1"/>
    </row>
    <row r="466" spans="1:9" x14ac:dyDescent="0.3">
      <c r="A466" s="19"/>
      <c r="B466" s="3"/>
      <c r="C466" s="1"/>
      <c r="D466" s="1"/>
      <c r="E466" s="1"/>
      <c r="F466" s="1"/>
      <c r="G466" s="3"/>
      <c r="H466" s="9"/>
      <c r="I466" s="1"/>
    </row>
    <row r="467" spans="1:9" x14ac:dyDescent="0.3">
      <c r="A467" s="19"/>
      <c r="B467" s="3"/>
      <c r="C467" s="1"/>
      <c r="D467" s="1"/>
      <c r="E467" s="1"/>
      <c r="F467" s="1"/>
      <c r="G467" s="3"/>
      <c r="H467" s="9"/>
      <c r="I467" s="1"/>
    </row>
    <row r="468" spans="1:9" x14ac:dyDescent="0.3">
      <c r="A468" s="19"/>
      <c r="B468" s="3"/>
      <c r="C468" s="1"/>
      <c r="D468" s="1"/>
      <c r="E468" s="1"/>
      <c r="F468" s="1"/>
      <c r="G468" s="3"/>
      <c r="H468" s="9"/>
      <c r="I468" s="1"/>
    </row>
    <row r="469" spans="1:9" x14ac:dyDescent="0.3">
      <c r="A469" s="19"/>
      <c r="B469" s="3"/>
      <c r="C469" s="1"/>
      <c r="D469" s="1"/>
      <c r="E469" s="1"/>
      <c r="F469" s="1"/>
      <c r="G469" s="3"/>
      <c r="H469" s="9"/>
      <c r="I469" s="1"/>
    </row>
    <row r="470" spans="1:9" x14ac:dyDescent="0.3">
      <c r="A470" s="19"/>
      <c r="B470" s="3"/>
      <c r="C470" s="1"/>
      <c r="D470" s="1"/>
      <c r="E470" s="1"/>
      <c r="F470" s="1"/>
      <c r="G470" s="3"/>
      <c r="H470" s="9"/>
      <c r="I470" s="1"/>
    </row>
    <row r="471" spans="1:9" x14ac:dyDescent="0.3">
      <c r="A471" s="19"/>
      <c r="B471" s="3"/>
      <c r="C471" s="1"/>
      <c r="D471" s="1"/>
      <c r="E471" s="1"/>
      <c r="F471" s="1"/>
      <c r="G471" s="3"/>
      <c r="H471" s="9"/>
      <c r="I471" s="1"/>
    </row>
    <row r="472" spans="1:9" x14ac:dyDescent="0.3">
      <c r="A472" s="19"/>
      <c r="B472" s="3"/>
      <c r="C472" s="1"/>
      <c r="D472" s="1"/>
      <c r="E472" s="1"/>
      <c r="F472" s="1"/>
      <c r="G472" s="3"/>
      <c r="H472" s="9"/>
      <c r="I472" s="1"/>
    </row>
    <row r="473" spans="1:9" x14ac:dyDescent="0.3">
      <c r="A473" s="19"/>
      <c r="B473" s="3"/>
      <c r="C473" s="1"/>
      <c r="D473" s="1"/>
      <c r="E473" s="1"/>
      <c r="F473" s="1"/>
      <c r="G473" s="3"/>
      <c r="H473" s="9"/>
      <c r="I473" s="1"/>
    </row>
    <row r="474" spans="1:9" x14ac:dyDescent="0.3">
      <c r="A474" s="19"/>
      <c r="B474" s="3"/>
      <c r="C474" s="1"/>
      <c r="D474" s="1"/>
      <c r="E474" s="1"/>
      <c r="F474" s="1"/>
      <c r="G474" s="3"/>
      <c r="H474" s="9"/>
      <c r="I474" s="1"/>
    </row>
    <row r="475" spans="1:9" x14ac:dyDescent="0.3">
      <c r="A475" s="19"/>
      <c r="B475" s="3"/>
      <c r="C475" s="1"/>
      <c r="D475" s="1"/>
      <c r="E475" s="1"/>
      <c r="F475" s="1"/>
      <c r="G475" s="3"/>
      <c r="H475" s="9"/>
      <c r="I475" s="1"/>
    </row>
    <row r="476" spans="1:9" x14ac:dyDescent="0.3">
      <c r="A476" s="19"/>
      <c r="B476" s="3"/>
      <c r="C476" s="1"/>
      <c r="D476" s="1"/>
      <c r="E476" s="1"/>
      <c r="F476" s="1"/>
      <c r="G476" s="3"/>
      <c r="H476" s="9"/>
      <c r="I476" s="1"/>
    </row>
    <row r="477" spans="1:9" x14ac:dyDescent="0.3">
      <c r="A477" s="19"/>
      <c r="B477" s="3"/>
      <c r="C477" s="1"/>
      <c r="D477" s="1"/>
      <c r="E477" s="1"/>
      <c r="F477" s="1"/>
      <c r="G477" s="3"/>
      <c r="H477" s="9"/>
      <c r="I477" s="1"/>
    </row>
    <row r="478" spans="1:9" x14ac:dyDescent="0.3">
      <c r="A478" s="19"/>
      <c r="B478" s="3"/>
      <c r="C478" s="1"/>
      <c r="D478" s="1"/>
      <c r="E478" s="1"/>
      <c r="F478" s="1"/>
      <c r="G478" s="3"/>
      <c r="H478" s="9"/>
      <c r="I478" s="1"/>
    </row>
    <row r="479" spans="1:9" x14ac:dyDescent="0.3">
      <c r="A479" s="19"/>
      <c r="B479" s="3"/>
      <c r="C479" s="1"/>
      <c r="D479" s="1"/>
      <c r="E479" s="1"/>
      <c r="F479" s="1"/>
      <c r="G479" s="3"/>
      <c r="H479" s="9"/>
      <c r="I479" s="1"/>
    </row>
    <row r="480" spans="1:9" x14ac:dyDescent="0.3">
      <c r="A480" s="19"/>
      <c r="B480" s="3"/>
      <c r="C480" s="1"/>
      <c r="D480" s="1"/>
      <c r="E480" s="1"/>
      <c r="F480" s="1"/>
      <c r="G480" s="3"/>
      <c r="H480" s="9"/>
      <c r="I480" s="1"/>
    </row>
    <row r="481" spans="1:9" x14ac:dyDescent="0.3">
      <c r="A481" s="19"/>
      <c r="B481" s="3"/>
      <c r="C481" s="1"/>
      <c r="D481" s="1"/>
      <c r="E481" s="1"/>
      <c r="F481" s="1"/>
      <c r="G481" s="3"/>
      <c r="H481" s="9"/>
      <c r="I481" s="1"/>
    </row>
    <row r="482" spans="1:9" x14ac:dyDescent="0.3">
      <c r="A482" s="19"/>
      <c r="B482" s="3"/>
      <c r="C482" s="1"/>
      <c r="D482" s="1"/>
      <c r="E482" s="1"/>
      <c r="F482" s="1"/>
      <c r="G482" s="3"/>
      <c r="H482" s="9"/>
      <c r="I482" s="1"/>
    </row>
    <row r="483" spans="1:9" x14ac:dyDescent="0.3">
      <c r="A483" s="19"/>
      <c r="B483" s="3"/>
      <c r="C483" s="1"/>
      <c r="D483" s="1"/>
      <c r="E483" s="1"/>
      <c r="F483" s="1"/>
      <c r="G483" s="3"/>
      <c r="H483" s="9"/>
      <c r="I483" s="1"/>
    </row>
    <row r="484" spans="1:9" x14ac:dyDescent="0.3">
      <c r="A484" s="19"/>
      <c r="B484" s="3"/>
      <c r="C484" s="1"/>
      <c r="D484" s="1"/>
      <c r="E484" s="1"/>
      <c r="F484" s="1"/>
      <c r="G484" s="3"/>
      <c r="H484" s="9"/>
      <c r="I484" s="1"/>
    </row>
    <row r="485" spans="1:9" x14ac:dyDescent="0.3">
      <c r="A485" s="19"/>
      <c r="B485" s="3"/>
      <c r="C485" s="1"/>
      <c r="D485" s="1"/>
      <c r="E485" s="1"/>
      <c r="F485" s="1"/>
      <c r="G485" s="3"/>
      <c r="H485" s="9"/>
      <c r="I485" s="1"/>
    </row>
    <row r="486" spans="1:9" x14ac:dyDescent="0.3">
      <c r="A486" s="19"/>
      <c r="B486" s="3"/>
      <c r="C486" s="3"/>
      <c r="D486" s="3"/>
      <c r="E486" s="3"/>
      <c r="F486" s="3"/>
      <c r="G486" s="3"/>
      <c r="H486" s="9"/>
      <c r="I486" s="1"/>
    </row>
    <row r="487" spans="1:9" x14ac:dyDescent="0.3">
      <c r="A487" s="19"/>
      <c r="B487" s="3"/>
      <c r="C487" s="3"/>
      <c r="D487" s="3"/>
      <c r="E487" s="3"/>
      <c r="F487" s="3"/>
      <c r="G487" s="3"/>
      <c r="H487" s="8"/>
      <c r="I487" s="1"/>
    </row>
    <row r="488" spans="1:9" x14ac:dyDescent="0.3">
      <c r="A488" s="19"/>
      <c r="B488" s="3"/>
      <c r="C488" s="3"/>
      <c r="D488" s="3"/>
      <c r="E488" s="3"/>
      <c r="F488" s="3"/>
      <c r="G488" s="3"/>
      <c r="H488" s="8"/>
      <c r="I488" s="1"/>
    </row>
    <row r="489" spans="1:9" x14ac:dyDescent="0.3">
      <c r="A489" s="19"/>
      <c r="B489" s="3"/>
      <c r="C489" s="3"/>
      <c r="D489" s="3"/>
      <c r="E489" s="3"/>
      <c r="F489" s="3"/>
      <c r="G489" s="3"/>
      <c r="H489" s="8"/>
      <c r="I489" s="1"/>
    </row>
    <row r="490" spans="1:9" x14ac:dyDescent="0.3">
      <c r="A490" s="19"/>
      <c r="B490" s="3"/>
      <c r="C490" s="3"/>
      <c r="D490" s="3"/>
      <c r="E490" s="3"/>
      <c r="F490" s="3"/>
      <c r="G490" s="3"/>
      <c r="H490" s="8"/>
      <c r="I490" s="1"/>
    </row>
    <row r="491" spans="1:9" x14ac:dyDescent="0.3">
      <c r="A491" s="19"/>
      <c r="B491" s="3"/>
      <c r="C491" s="3"/>
      <c r="D491" s="3"/>
      <c r="E491" s="3"/>
      <c r="F491" s="3"/>
      <c r="G491" s="3"/>
      <c r="H491" s="8"/>
      <c r="I491" s="1"/>
    </row>
    <row r="492" spans="1:9" x14ac:dyDescent="0.3">
      <c r="A492" s="19"/>
      <c r="B492" s="3"/>
      <c r="C492" s="3"/>
      <c r="D492" s="3"/>
      <c r="E492" s="3"/>
      <c r="F492" s="3"/>
      <c r="G492" s="3"/>
      <c r="H492" s="8"/>
      <c r="I492" s="1"/>
    </row>
    <row r="493" spans="1:9" x14ac:dyDescent="0.3">
      <c r="A493" s="19"/>
      <c r="B493" s="3"/>
      <c r="C493" s="3"/>
      <c r="D493" s="3"/>
      <c r="E493" s="3"/>
      <c r="F493" s="3"/>
      <c r="G493" s="3"/>
      <c r="H493" s="8"/>
      <c r="I493" s="1"/>
    </row>
    <row r="494" spans="1:9" x14ac:dyDescent="0.3">
      <c r="A494" s="19"/>
      <c r="B494" s="3"/>
      <c r="C494" s="3"/>
      <c r="D494" s="3"/>
      <c r="E494" s="3"/>
      <c r="F494" s="3"/>
      <c r="G494" s="3"/>
      <c r="H494" s="8"/>
      <c r="I494" s="1"/>
    </row>
    <row r="495" spans="1:9" x14ac:dyDescent="0.3">
      <c r="A495" s="19"/>
      <c r="B495" s="3"/>
      <c r="C495" s="3"/>
      <c r="D495" s="3"/>
      <c r="E495" s="3"/>
      <c r="F495" s="3"/>
      <c r="G495" s="3"/>
      <c r="H495" s="8"/>
      <c r="I495" s="1"/>
    </row>
    <row r="496" spans="1:9" x14ac:dyDescent="0.3">
      <c r="A496" s="19"/>
      <c r="B496" s="3"/>
      <c r="C496" s="3"/>
      <c r="D496" s="3"/>
      <c r="E496" s="3"/>
      <c r="F496" s="3"/>
      <c r="G496" s="3"/>
      <c r="H496" s="8"/>
      <c r="I496" s="1"/>
    </row>
    <row r="497" spans="1:9" x14ac:dyDescent="0.3">
      <c r="A497" s="19"/>
      <c r="B497" s="3"/>
      <c r="C497" s="3"/>
      <c r="D497" s="3"/>
      <c r="E497" s="3"/>
      <c r="F497" s="3"/>
      <c r="G497" s="3"/>
      <c r="H497" s="8"/>
      <c r="I497" s="1"/>
    </row>
    <row r="498" spans="1:9" x14ac:dyDescent="0.3">
      <c r="A498" s="19"/>
      <c r="B498" s="3"/>
      <c r="C498" s="4"/>
      <c r="D498" s="3"/>
      <c r="E498" s="3"/>
      <c r="F498" s="3"/>
      <c r="G498" s="3"/>
      <c r="H498" s="8"/>
      <c r="I498" s="1"/>
    </row>
    <row r="499" spans="1:9" x14ac:dyDescent="0.3">
      <c r="A499" s="19"/>
      <c r="B499" s="3"/>
      <c r="C499" s="3"/>
      <c r="D499" s="3"/>
      <c r="E499" s="3"/>
      <c r="F499" s="3"/>
      <c r="G499" s="3"/>
      <c r="H499" s="8"/>
      <c r="I499" s="1"/>
    </row>
    <row r="500" spans="1:9" x14ac:dyDescent="0.3">
      <c r="A500" s="19"/>
      <c r="B500" s="3"/>
      <c r="C500" s="3"/>
      <c r="D500" s="3"/>
      <c r="E500" s="3"/>
      <c r="F500" s="3"/>
      <c r="G500" s="3"/>
      <c r="H500" s="8"/>
      <c r="I500" s="1"/>
    </row>
    <row r="501" spans="1:9" x14ac:dyDescent="0.3">
      <c r="A501" s="19"/>
      <c r="B501" s="3"/>
      <c r="C501" s="3"/>
      <c r="D501" s="3"/>
      <c r="E501" s="3"/>
      <c r="F501" s="3"/>
      <c r="G501" s="3"/>
      <c r="H501" s="8"/>
      <c r="I501" s="1"/>
    </row>
    <row r="502" spans="1:9" x14ac:dyDescent="0.3">
      <c r="A502" s="19"/>
      <c r="B502" s="3"/>
      <c r="C502" s="3"/>
      <c r="D502" s="3"/>
      <c r="E502" s="3"/>
      <c r="F502" s="3"/>
      <c r="G502" s="3"/>
      <c r="H502" s="8"/>
      <c r="I502" s="1"/>
    </row>
    <row r="503" spans="1:9" x14ac:dyDescent="0.3">
      <c r="A503" s="19"/>
      <c r="B503" s="3"/>
      <c r="C503" s="3"/>
      <c r="D503" s="3"/>
      <c r="E503" s="3"/>
      <c r="F503" s="3"/>
      <c r="G503" s="3"/>
      <c r="H503" s="8"/>
      <c r="I503" s="1"/>
    </row>
    <row r="504" spans="1:9" x14ac:dyDescent="0.3">
      <c r="A504" s="19"/>
      <c r="B504" s="3"/>
      <c r="C504" s="3"/>
      <c r="D504" s="3"/>
      <c r="E504" s="3"/>
      <c r="F504" s="3"/>
      <c r="G504" s="3"/>
      <c r="H504" s="8"/>
      <c r="I504" s="1"/>
    </row>
    <row r="505" spans="1:9" x14ac:dyDescent="0.3">
      <c r="A505" s="19"/>
      <c r="B505" s="3"/>
      <c r="C505" s="3"/>
      <c r="D505" s="3"/>
      <c r="E505" s="3"/>
      <c r="F505" s="3"/>
      <c r="G505" s="3"/>
      <c r="H505" s="8"/>
      <c r="I505" s="1"/>
    </row>
    <row r="506" spans="1:9" x14ac:dyDescent="0.3">
      <c r="A506" s="19"/>
      <c r="B506" s="3"/>
      <c r="C506" s="3"/>
      <c r="D506" s="3"/>
      <c r="E506" s="3"/>
      <c r="F506" s="3"/>
      <c r="G506" s="3"/>
      <c r="H506" s="8"/>
      <c r="I506" s="1"/>
    </row>
    <row r="507" spans="1:9" x14ac:dyDescent="0.3">
      <c r="A507" s="19"/>
      <c r="B507" s="3"/>
      <c r="C507" s="3"/>
      <c r="D507" s="3"/>
      <c r="E507" s="3"/>
      <c r="F507" s="3"/>
      <c r="G507" s="3"/>
      <c r="H507" s="8"/>
      <c r="I507" s="1"/>
    </row>
    <row r="508" spans="1:9" x14ac:dyDescent="0.3">
      <c r="A508" s="19"/>
      <c r="B508" s="3"/>
      <c r="C508" s="3"/>
      <c r="D508" s="3"/>
      <c r="E508" s="3"/>
      <c r="F508" s="3"/>
      <c r="G508" s="3"/>
      <c r="H508" s="8"/>
      <c r="I508" s="1"/>
    </row>
    <row r="509" spans="1:9" x14ac:dyDescent="0.3">
      <c r="A509" s="19"/>
      <c r="B509" s="3"/>
      <c r="C509" s="3"/>
      <c r="D509" s="3"/>
      <c r="E509" s="3"/>
      <c r="F509" s="3"/>
      <c r="G509" s="3"/>
      <c r="H509" s="8"/>
      <c r="I509" s="1"/>
    </row>
    <row r="510" spans="1:9" x14ac:dyDescent="0.3">
      <c r="A510" s="19"/>
      <c r="B510" s="3"/>
      <c r="C510" s="3"/>
      <c r="D510" s="3"/>
      <c r="E510" s="3"/>
      <c r="F510" s="3"/>
      <c r="G510" s="3"/>
      <c r="H510" s="12"/>
      <c r="I510" s="1"/>
    </row>
    <row r="511" spans="1:9" x14ac:dyDescent="0.3">
      <c r="A511" s="19"/>
      <c r="B511" s="3"/>
      <c r="C511" s="3"/>
      <c r="D511" s="3"/>
      <c r="E511" s="3"/>
      <c r="F511" s="3"/>
      <c r="G511" s="3"/>
      <c r="H511" s="8"/>
      <c r="I511" s="1"/>
    </row>
    <row r="512" spans="1:9" x14ac:dyDescent="0.3">
      <c r="A512" s="19"/>
      <c r="B512" s="3"/>
      <c r="C512" s="3"/>
      <c r="D512" s="3"/>
      <c r="E512" s="3"/>
      <c r="F512" s="3"/>
      <c r="G512" s="3"/>
      <c r="H512" s="8"/>
      <c r="I512" s="1"/>
    </row>
    <row r="513" spans="1:9" x14ac:dyDescent="0.3">
      <c r="A513" s="19"/>
      <c r="B513" s="3"/>
      <c r="C513" s="3"/>
      <c r="D513" s="3"/>
      <c r="E513" s="3"/>
      <c r="F513" s="3"/>
      <c r="G513" s="3"/>
      <c r="H513" s="8"/>
      <c r="I513" s="1"/>
    </row>
    <row r="514" spans="1:9" x14ac:dyDescent="0.3">
      <c r="A514" s="19"/>
      <c r="B514" s="3"/>
      <c r="C514" s="3"/>
      <c r="D514" s="3"/>
      <c r="E514" s="3"/>
      <c r="F514" s="3"/>
      <c r="G514" s="3"/>
      <c r="H514" s="8"/>
      <c r="I514" s="1"/>
    </row>
    <row r="515" spans="1:9" x14ac:dyDescent="0.3">
      <c r="A515" s="19"/>
      <c r="B515" s="3"/>
      <c r="C515" s="3"/>
      <c r="D515" s="3"/>
      <c r="E515" s="3"/>
      <c r="F515" s="3"/>
      <c r="G515" s="3"/>
      <c r="H515" s="8"/>
      <c r="I515" s="1"/>
    </row>
    <row r="516" spans="1:9" x14ac:dyDescent="0.3">
      <c r="A516" s="19"/>
      <c r="B516" s="3"/>
      <c r="C516" s="3"/>
      <c r="D516" s="3"/>
      <c r="E516" s="3"/>
      <c r="F516" s="3"/>
      <c r="G516" s="3"/>
      <c r="H516" s="8"/>
      <c r="I516" s="1"/>
    </row>
    <row r="517" spans="1:9" x14ac:dyDescent="0.3">
      <c r="A517" s="19"/>
      <c r="B517" s="3"/>
      <c r="C517" s="3"/>
      <c r="D517" s="3"/>
      <c r="E517" s="3"/>
      <c r="F517" s="3"/>
      <c r="G517" s="3"/>
      <c r="H517" s="8"/>
      <c r="I517" s="1"/>
    </row>
    <row r="518" spans="1:9" x14ac:dyDescent="0.3">
      <c r="A518" s="19"/>
      <c r="B518" s="3"/>
      <c r="C518" s="3"/>
      <c r="D518" s="3"/>
      <c r="E518" s="3"/>
      <c r="F518" s="3"/>
      <c r="G518" s="3"/>
      <c r="H518" s="8"/>
      <c r="I518" s="1"/>
    </row>
    <row r="519" spans="1:9" x14ac:dyDescent="0.3">
      <c r="A519" s="19"/>
      <c r="B519" s="3"/>
      <c r="C519" s="3"/>
      <c r="D519" s="3"/>
      <c r="E519" s="3"/>
      <c r="F519" s="3"/>
      <c r="G519" s="3"/>
      <c r="H519" s="8"/>
      <c r="I519" s="1"/>
    </row>
    <row r="520" spans="1:9" x14ac:dyDescent="0.3">
      <c r="A520" s="19"/>
      <c r="B520" s="3"/>
      <c r="C520" s="3"/>
      <c r="D520" s="3"/>
      <c r="E520" s="3"/>
      <c r="F520" s="3"/>
      <c r="G520" s="3"/>
      <c r="H520" s="8"/>
      <c r="I520" s="1"/>
    </row>
    <row r="521" spans="1:9" x14ac:dyDescent="0.3">
      <c r="A521" s="19"/>
      <c r="B521" s="3"/>
      <c r="C521" s="3"/>
      <c r="D521" s="3"/>
      <c r="E521" s="3"/>
      <c r="F521" s="3"/>
      <c r="G521" s="3"/>
      <c r="H521" s="8"/>
      <c r="I521" s="1"/>
    </row>
    <row r="522" spans="1:9" x14ac:dyDescent="0.3">
      <c r="A522" s="19"/>
      <c r="B522" s="3"/>
      <c r="C522" s="6"/>
      <c r="D522" s="6"/>
      <c r="E522" s="6"/>
      <c r="F522" s="6"/>
      <c r="G522" s="3"/>
      <c r="H522" s="13"/>
      <c r="I522" s="1"/>
    </row>
    <row r="523" spans="1:9" x14ac:dyDescent="0.3">
      <c r="A523" s="19"/>
      <c r="B523" s="3"/>
      <c r="C523" s="6"/>
      <c r="D523" s="6"/>
      <c r="E523" s="6"/>
      <c r="F523" s="6"/>
      <c r="G523" s="3"/>
      <c r="H523" s="13"/>
      <c r="I523" s="1"/>
    </row>
    <row r="524" spans="1:9" x14ac:dyDescent="0.3">
      <c r="A524" s="19"/>
      <c r="B524" s="3"/>
      <c r="C524" s="6"/>
      <c r="D524" s="6"/>
      <c r="E524" s="6"/>
      <c r="F524" s="6"/>
      <c r="G524" s="3"/>
      <c r="H524" s="13"/>
      <c r="I524" s="1"/>
    </row>
    <row r="525" spans="1:9" x14ac:dyDescent="0.3">
      <c r="A525" s="19"/>
      <c r="B525" s="3"/>
      <c r="C525" s="6"/>
      <c r="D525" s="6"/>
      <c r="E525" s="6"/>
      <c r="F525" s="6"/>
      <c r="G525" s="3"/>
      <c r="H525" s="13"/>
      <c r="I525" s="1"/>
    </row>
    <row r="526" spans="1:9" x14ac:dyDescent="0.3">
      <c r="A526" s="19"/>
      <c r="B526" s="3"/>
      <c r="C526" s="6"/>
      <c r="D526" s="6"/>
      <c r="E526" s="6"/>
      <c r="F526" s="6"/>
      <c r="G526" s="3"/>
      <c r="H526" s="13"/>
      <c r="I526" s="1"/>
    </row>
    <row r="527" spans="1:9" x14ac:dyDescent="0.3">
      <c r="A527" s="19"/>
      <c r="B527" s="3"/>
      <c r="C527" s="6"/>
      <c r="D527" s="6"/>
      <c r="E527" s="6"/>
      <c r="F527" s="6"/>
      <c r="G527" s="3"/>
      <c r="H527" s="13"/>
      <c r="I527" s="1"/>
    </row>
    <row r="528" spans="1:9" x14ac:dyDescent="0.3">
      <c r="A528" s="19"/>
      <c r="B528" s="3"/>
      <c r="C528" s="6"/>
      <c r="D528" s="6"/>
      <c r="E528" s="6"/>
      <c r="F528" s="6"/>
      <c r="G528" s="3"/>
      <c r="H528" s="13"/>
      <c r="I528" s="1"/>
    </row>
    <row r="529" spans="1:9" x14ac:dyDescent="0.3">
      <c r="A529" s="19"/>
      <c r="B529" s="3"/>
      <c r="C529" s="6"/>
      <c r="D529" s="6"/>
      <c r="E529" s="6"/>
      <c r="F529" s="6"/>
      <c r="G529" s="3"/>
      <c r="H529" s="13"/>
      <c r="I529" s="1"/>
    </row>
    <row r="530" spans="1:9" x14ac:dyDescent="0.3">
      <c r="A530" s="19"/>
      <c r="B530" s="3"/>
      <c r="C530" s="6"/>
      <c r="D530" s="6"/>
      <c r="E530" s="6"/>
      <c r="F530" s="6"/>
      <c r="G530" s="3"/>
      <c r="H530" s="13"/>
      <c r="I530" s="1"/>
    </row>
    <row r="531" spans="1:9" x14ac:dyDescent="0.3">
      <c r="A531" s="19"/>
      <c r="B531" s="3"/>
      <c r="C531" s="6"/>
      <c r="D531" s="6"/>
      <c r="E531" s="6"/>
      <c r="F531" s="6"/>
      <c r="G531" s="3"/>
      <c r="H531" s="13"/>
      <c r="I531" s="1"/>
    </row>
    <row r="532" spans="1:9" x14ac:dyDescent="0.3">
      <c r="A532" s="19"/>
      <c r="B532" s="3"/>
      <c r="C532" s="6"/>
      <c r="D532" s="6"/>
      <c r="E532" s="6"/>
      <c r="F532" s="6"/>
      <c r="G532" s="3"/>
      <c r="H532" s="13"/>
      <c r="I532" s="1"/>
    </row>
    <row r="533" spans="1:9" x14ac:dyDescent="0.3">
      <c r="A533" s="19"/>
      <c r="B533" s="3"/>
      <c r="C533" s="6"/>
      <c r="D533" s="6"/>
      <c r="E533" s="6"/>
      <c r="F533" s="6"/>
      <c r="G533" s="3"/>
      <c r="H533" s="13"/>
      <c r="I533" s="1"/>
    </row>
    <row r="534" spans="1:9" x14ac:dyDescent="0.3">
      <c r="A534" s="19"/>
      <c r="B534" s="3"/>
      <c r="C534" s="6"/>
      <c r="D534" s="6"/>
      <c r="E534" s="6"/>
      <c r="F534" s="6"/>
      <c r="G534" s="3"/>
      <c r="H534" s="13"/>
      <c r="I534" s="1"/>
    </row>
    <row r="535" spans="1:9" x14ac:dyDescent="0.3">
      <c r="A535" s="19"/>
      <c r="B535" s="3"/>
      <c r="C535" s="6"/>
      <c r="D535" s="6"/>
      <c r="E535" s="6"/>
      <c r="F535" s="6"/>
      <c r="G535" s="3"/>
      <c r="H535" s="13"/>
      <c r="I535" s="1"/>
    </row>
    <row r="536" spans="1:9" x14ac:dyDescent="0.3">
      <c r="A536" s="19"/>
      <c r="B536" s="3"/>
      <c r="C536" s="6"/>
      <c r="D536" s="6"/>
      <c r="E536" s="6"/>
      <c r="F536" s="6"/>
      <c r="G536" s="3"/>
      <c r="H536" s="13"/>
      <c r="I536" s="1"/>
    </row>
    <row r="537" spans="1:9" x14ac:dyDescent="0.3">
      <c r="A537" s="19"/>
      <c r="B537" s="3"/>
      <c r="C537" s="6"/>
      <c r="D537" s="6"/>
      <c r="E537" s="6"/>
      <c r="F537" s="6"/>
      <c r="G537" s="3"/>
      <c r="H537" s="13"/>
      <c r="I537" s="1"/>
    </row>
    <row r="538" spans="1:9" x14ac:dyDescent="0.3">
      <c r="A538" s="19"/>
      <c r="B538" s="3"/>
      <c r="C538" s="6"/>
      <c r="D538" s="6"/>
      <c r="E538" s="6"/>
      <c r="F538" s="6"/>
      <c r="G538" s="3"/>
      <c r="H538" s="13"/>
      <c r="I538" s="1"/>
    </row>
    <row r="539" spans="1:9" x14ac:dyDescent="0.3">
      <c r="A539" s="19"/>
      <c r="B539" s="3"/>
      <c r="C539" s="1"/>
      <c r="D539" s="1"/>
      <c r="E539" s="1"/>
      <c r="F539" s="1"/>
      <c r="G539" s="3"/>
      <c r="H539" s="9"/>
      <c r="I539" s="1"/>
    </row>
    <row r="540" spans="1:9" x14ac:dyDescent="0.3">
      <c r="A540" s="19"/>
      <c r="B540" s="3"/>
      <c r="C540" s="1"/>
      <c r="D540" s="1"/>
      <c r="E540" s="1"/>
      <c r="F540" s="1"/>
      <c r="G540" s="3"/>
      <c r="H540" s="9"/>
      <c r="I540" s="1"/>
    </row>
    <row r="541" spans="1:9" x14ac:dyDescent="0.3">
      <c r="A541" s="19"/>
      <c r="B541" s="3"/>
      <c r="C541" s="1"/>
      <c r="D541" s="1"/>
      <c r="E541" s="1"/>
      <c r="F541" s="1"/>
      <c r="G541" s="3"/>
      <c r="H541" s="9"/>
      <c r="I541" s="1"/>
    </row>
    <row r="542" spans="1:9" x14ac:dyDescent="0.3">
      <c r="A542" s="19"/>
      <c r="B542" s="3"/>
      <c r="C542" s="1"/>
      <c r="D542" s="1"/>
      <c r="E542" s="1"/>
      <c r="F542" s="1"/>
      <c r="G542" s="3"/>
      <c r="H542" s="9"/>
      <c r="I542" s="1"/>
    </row>
    <row r="543" spans="1:9" x14ac:dyDescent="0.3">
      <c r="A543" s="19"/>
      <c r="B543" s="3"/>
      <c r="C543" s="1"/>
      <c r="D543" s="1"/>
      <c r="E543" s="1"/>
      <c r="F543" s="1"/>
      <c r="G543" s="3"/>
      <c r="H543" s="9"/>
      <c r="I543" s="1"/>
    </row>
    <row r="544" spans="1:9" x14ac:dyDescent="0.3">
      <c r="A544" s="19"/>
      <c r="B544" s="3"/>
      <c r="C544" s="1"/>
      <c r="D544" s="1"/>
      <c r="E544" s="1"/>
      <c r="F544" s="1"/>
      <c r="G544" s="3"/>
      <c r="H544" s="9"/>
      <c r="I544" s="1"/>
    </row>
    <row r="545" spans="1:9" x14ac:dyDescent="0.3">
      <c r="A545" s="19"/>
      <c r="B545" s="3"/>
      <c r="C545" s="1"/>
      <c r="D545" s="1"/>
      <c r="E545" s="1"/>
      <c r="F545" s="1"/>
      <c r="G545" s="3"/>
      <c r="H545" s="9"/>
      <c r="I545" s="1"/>
    </row>
    <row r="546" spans="1:9" x14ac:dyDescent="0.3">
      <c r="A546" s="19"/>
      <c r="B546" s="3"/>
      <c r="C546" s="1"/>
      <c r="D546" s="1"/>
      <c r="E546" s="1"/>
      <c r="F546" s="1"/>
      <c r="G546" s="3"/>
      <c r="H546" s="9"/>
      <c r="I546" s="1"/>
    </row>
    <row r="547" spans="1:9" x14ac:dyDescent="0.3">
      <c r="A547" s="19"/>
      <c r="B547" s="3"/>
      <c r="C547" s="1"/>
      <c r="D547" s="1"/>
      <c r="E547" s="1"/>
      <c r="F547" s="1"/>
      <c r="G547" s="3"/>
      <c r="H547" s="9"/>
      <c r="I547" s="1"/>
    </row>
    <row r="548" spans="1:9" x14ac:dyDescent="0.3">
      <c r="A548" s="19"/>
      <c r="B548" s="3"/>
      <c r="C548" s="1"/>
      <c r="D548" s="1"/>
      <c r="E548" s="1"/>
      <c r="F548" s="1"/>
      <c r="G548" s="3"/>
      <c r="H548" s="9"/>
      <c r="I548" s="1"/>
    </row>
    <row r="549" spans="1:9" x14ac:dyDescent="0.3">
      <c r="A549" s="19"/>
      <c r="B549" s="3"/>
      <c r="C549" s="1"/>
      <c r="D549" s="1"/>
      <c r="E549" s="1"/>
      <c r="F549" s="1"/>
      <c r="G549" s="3"/>
      <c r="H549" s="9"/>
      <c r="I549" s="1"/>
    </row>
    <row r="550" spans="1:9" x14ac:dyDescent="0.3">
      <c r="A550" s="19"/>
      <c r="B550" s="3"/>
      <c r="C550" s="1"/>
      <c r="D550" s="1"/>
      <c r="E550" s="1"/>
      <c r="F550" s="1"/>
      <c r="G550" s="3"/>
      <c r="H550" s="9"/>
      <c r="I550" s="1"/>
    </row>
    <row r="551" spans="1:9" x14ac:dyDescent="0.3">
      <c r="A551" s="19"/>
      <c r="B551" s="3"/>
      <c r="C551" s="1"/>
      <c r="D551" s="1"/>
      <c r="E551" s="1"/>
      <c r="F551" s="1"/>
      <c r="G551" s="3"/>
      <c r="H551" s="9"/>
      <c r="I551" s="1"/>
    </row>
    <row r="552" spans="1:9" x14ac:dyDescent="0.3">
      <c r="A552" s="19"/>
      <c r="B552" s="3"/>
      <c r="C552" s="1"/>
      <c r="D552" s="1"/>
      <c r="E552" s="1"/>
      <c r="F552" s="1"/>
      <c r="G552" s="3"/>
      <c r="H552" s="9"/>
      <c r="I552" s="1"/>
    </row>
    <row r="553" spans="1:9" x14ac:dyDescent="0.3">
      <c r="A553" s="19"/>
      <c r="B553" s="3"/>
      <c r="C553" s="1"/>
      <c r="D553" s="1"/>
      <c r="E553" s="1"/>
      <c r="F553" s="1"/>
      <c r="G553" s="3"/>
      <c r="H553" s="9"/>
      <c r="I553" s="1"/>
    </row>
    <row r="554" spans="1:9" x14ac:dyDescent="0.3">
      <c r="A554" s="19"/>
      <c r="B554" s="3"/>
      <c r="C554" s="1"/>
      <c r="D554" s="1"/>
      <c r="E554" s="1"/>
      <c r="F554" s="1"/>
      <c r="G554" s="3"/>
      <c r="H554" s="9"/>
      <c r="I554" s="1"/>
    </row>
    <row r="555" spans="1:9" x14ac:dyDescent="0.3">
      <c r="A555" s="19"/>
      <c r="B555" s="3"/>
      <c r="C555" s="1"/>
      <c r="D555" s="1"/>
      <c r="E555" s="1"/>
      <c r="F555" s="1"/>
      <c r="G555" s="3"/>
      <c r="H555" s="9"/>
      <c r="I555" s="1"/>
    </row>
    <row r="556" spans="1:9" x14ac:dyDescent="0.3">
      <c r="A556" s="19"/>
      <c r="B556" s="3"/>
      <c r="C556" s="3"/>
      <c r="D556" s="3"/>
      <c r="E556" s="3"/>
      <c r="F556" s="3"/>
      <c r="G556" s="3"/>
      <c r="H556" s="8"/>
      <c r="I556" s="1"/>
    </row>
    <row r="557" spans="1:9" x14ac:dyDescent="0.3">
      <c r="A557" s="19"/>
      <c r="B557" s="3"/>
      <c r="C557" s="3"/>
      <c r="D557" s="3"/>
      <c r="E557" s="3"/>
      <c r="F557" s="3"/>
      <c r="G557" s="3"/>
      <c r="H557" s="8"/>
      <c r="I557" s="1"/>
    </row>
    <row r="558" spans="1:9" x14ac:dyDescent="0.3">
      <c r="A558" s="19"/>
      <c r="B558" s="3"/>
      <c r="C558" s="3"/>
      <c r="D558" s="3"/>
      <c r="E558" s="3"/>
      <c r="F558" s="3"/>
      <c r="G558" s="3"/>
      <c r="H558" s="8"/>
      <c r="I558" s="1"/>
    </row>
    <row r="559" spans="1:9" x14ac:dyDescent="0.3">
      <c r="A559" s="19"/>
      <c r="B559" s="3"/>
      <c r="C559" s="3"/>
      <c r="D559" s="3"/>
      <c r="E559" s="3"/>
      <c r="F559" s="3"/>
      <c r="G559" s="3"/>
      <c r="H559" s="8"/>
      <c r="I559" s="1"/>
    </row>
    <row r="560" spans="1:9" x14ac:dyDescent="0.3">
      <c r="A560" s="19"/>
      <c r="B560" s="3"/>
      <c r="C560" s="3"/>
      <c r="D560" s="3"/>
      <c r="E560" s="3"/>
      <c r="F560" s="3"/>
      <c r="G560" s="3"/>
      <c r="H560" s="8"/>
      <c r="I560" s="1"/>
    </row>
    <row r="561" spans="1:9" x14ac:dyDescent="0.3">
      <c r="A561" s="19"/>
      <c r="B561" s="3"/>
      <c r="C561" s="3"/>
      <c r="D561" s="3"/>
      <c r="E561" s="3"/>
      <c r="F561" s="3"/>
      <c r="G561" s="3"/>
      <c r="H561" s="8"/>
      <c r="I561" s="1"/>
    </row>
    <row r="562" spans="1:9" x14ac:dyDescent="0.3">
      <c r="A562" s="19"/>
      <c r="B562" s="3"/>
      <c r="C562" s="3"/>
      <c r="D562" s="3"/>
      <c r="E562" s="3"/>
      <c r="F562" s="3"/>
      <c r="G562" s="3"/>
      <c r="H562" s="8"/>
      <c r="I562" s="1"/>
    </row>
    <row r="563" spans="1:9" x14ac:dyDescent="0.3">
      <c r="A563" s="19"/>
      <c r="B563" s="3"/>
      <c r="C563" s="3"/>
      <c r="D563" s="3"/>
      <c r="E563" s="3"/>
      <c r="F563" s="3"/>
      <c r="G563" s="3"/>
      <c r="H563" s="8"/>
      <c r="I563" s="1"/>
    </row>
    <row r="564" spans="1:9" x14ac:dyDescent="0.3">
      <c r="A564" s="19"/>
      <c r="B564" s="3"/>
      <c r="C564" s="3"/>
      <c r="D564" s="3"/>
      <c r="E564" s="3"/>
      <c r="F564" s="3"/>
      <c r="G564" s="3"/>
      <c r="H564" s="8"/>
      <c r="I564" s="1"/>
    </row>
    <row r="565" spans="1:9" x14ac:dyDescent="0.3">
      <c r="A565" s="19"/>
      <c r="B565" s="3"/>
      <c r="C565" s="3"/>
      <c r="D565" s="3"/>
      <c r="E565" s="3"/>
      <c r="F565" s="3"/>
      <c r="G565" s="3"/>
      <c r="H565" s="8"/>
      <c r="I565" s="1"/>
    </row>
    <row r="566" spans="1:9" x14ac:dyDescent="0.3">
      <c r="A566" s="19"/>
      <c r="B566" s="3"/>
      <c r="C566" s="3"/>
      <c r="D566" s="3"/>
      <c r="E566" s="3"/>
      <c r="F566" s="3"/>
      <c r="G566" s="3"/>
      <c r="H566" s="8"/>
      <c r="I566" s="1"/>
    </row>
    <row r="567" spans="1:9" x14ac:dyDescent="0.3">
      <c r="A567" s="19"/>
      <c r="B567" s="3"/>
      <c r="C567" s="3"/>
      <c r="D567" s="3"/>
      <c r="E567" s="3"/>
      <c r="F567" s="3"/>
      <c r="G567" s="3"/>
      <c r="H567" s="8"/>
      <c r="I567" s="1"/>
    </row>
    <row r="568" spans="1:9" x14ac:dyDescent="0.3">
      <c r="A568" s="19"/>
      <c r="B568" s="3"/>
      <c r="C568" s="3"/>
      <c r="D568" s="3"/>
      <c r="E568" s="3"/>
      <c r="F568" s="3"/>
      <c r="G568" s="3"/>
      <c r="H568" s="8"/>
      <c r="I568" s="1"/>
    </row>
    <row r="569" spans="1:9" x14ac:dyDescent="0.3">
      <c r="A569" s="19"/>
      <c r="B569" s="3"/>
      <c r="C569" s="3"/>
      <c r="D569" s="3"/>
      <c r="E569" s="3"/>
      <c r="F569" s="3"/>
      <c r="G569" s="3"/>
      <c r="H569" s="8"/>
      <c r="I569" s="1"/>
    </row>
    <row r="570" spans="1:9" x14ac:dyDescent="0.3">
      <c r="A570" s="19"/>
      <c r="B570" s="3"/>
      <c r="C570" s="3"/>
      <c r="D570" s="3"/>
      <c r="E570" s="3"/>
      <c r="F570" s="3"/>
      <c r="G570" s="3"/>
      <c r="H570" s="8"/>
      <c r="I570" s="1"/>
    </row>
    <row r="571" spans="1:9" x14ac:dyDescent="0.3">
      <c r="A571" s="19"/>
      <c r="B571" s="3"/>
      <c r="C571" s="3"/>
      <c r="D571" s="3"/>
      <c r="E571" s="3"/>
      <c r="F571" s="3"/>
      <c r="G571" s="3"/>
      <c r="H571" s="8"/>
      <c r="I571" s="1"/>
    </row>
    <row r="572" spans="1:9" x14ac:dyDescent="0.3">
      <c r="A572" s="19"/>
      <c r="B572" s="3"/>
      <c r="C572" s="3"/>
      <c r="D572" s="3"/>
      <c r="E572" s="3"/>
      <c r="F572" s="3"/>
      <c r="G572" s="3"/>
      <c r="H572" s="8"/>
      <c r="I572" s="1"/>
    </row>
    <row r="573" spans="1:9" x14ac:dyDescent="0.3">
      <c r="A573" s="19"/>
      <c r="B573" s="3"/>
      <c r="C573" s="3"/>
      <c r="D573" s="3"/>
      <c r="E573" s="3"/>
      <c r="F573" s="3"/>
      <c r="G573" s="3"/>
      <c r="H573" s="8"/>
      <c r="I573" s="1"/>
    </row>
    <row r="574" spans="1:9" x14ac:dyDescent="0.3">
      <c r="A574" s="19"/>
      <c r="B574" s="3"/>
      <c r="C574" s="3"/>
      <c r="D574" s="3"/>
      <c r="E574" s="3"/>
      <c r="F574" s="3"/>
      <c r="G574" s="3"/>
      <c r="H574" s="8"/>
      <c r="I574" s="1"/>
    </row>
    <row r="575" spans="1:9" x14ac:dyDescent="0.3">
      <c r="A575" s="19"/>
      <c r="B575" s="3"/>
      <c r="C575" s="3"/>
      <c r="D575" s="3"/>
      <c r="E575" s="3"/>
      <c r="F575" s="3"/>
      <c r="G575" s="3"/>
      <c r="H575" s="8"/>
      <c r="I575" s="1"/>
    </row>
    <row r="576" spans="1:9" x14ac:dyDescent="0.3">
      <c r="A576" s="19"/>
      <c r="B576" s="3"/>
      <c r="C576" s="3"/>
      <c r="D576" s="3"/>
      <c r="E576" s="3"/>
      <c r="F576" s="3"/>
      <c r="G576" s="3"/>
      <c r="H576" s="8"/>
      <c r="I576" s="1"/>
    </row>
    <row r="577" spans="1:9" x14ac:dyDescent="0.3">
      <c r="A577" s="19"/>
      <c r="B577" s="3"/>
      <c r="C577" s="3"/>
      <c r="D577" s="3"/>
      <c r="E577" s="3"/>
      <c r="F577" s="3"/>
      <c r="G577" s="3"/>
      <c r="H577" s="8"/>
      <c r="I577" s="1"/>
    </row>
    <row r="578" spans="1:9" x14ac:dyDescent="0.3">
      <c r="A578" s="19"/>
      <c r="B578" s="3"/>
      <c r="C578" s="3"/>
      <c r="D578" s="3"/>
      <c r="E578" s="3"/>
      <c r="F578" s="3"/>
      <c r="G578" s="3"/>
      <c r="H578" s="8"/>
      <c r="I578" s="1"/>
    </row>
    <row r="579" spans="1:9" x14ac:dyDescent="0.3">
      <c r="A579" s="19"/>
      <c r="B579" s="3"/>
      <c r="C579" s="3"/>
      <c r="D579" s="3"/>
      <c r="E579" s="3"/>
      <c r="F579" s="3"/>
      <c r="G579" s="3"/>
      <c r="H579" s="8"/>
      <c r="I579" s="1"/>
    </row>
    <row r="580" spans="1:9" x14ac:dyDescent="0.3">
      <c r="A580" s="19"/>
      <c r="B580" s="3"/>
      <c r="C580" s="3"/>
      <c r="D580" s="3"/>
      <c r="E580" s="3"/>
      <c r="F580" s="3"/>
      <c r="G580" s="3"/>
      <c r="H580" s="8"/>
      <c r="I580" s="1"/>
    </row>
    <row r="581" spans="1:9" x14ac:dyDescent="0.3">
      <c r="A581" s="19"/>
      <c r="B581" s="3"/>
      <c r="C581" s="3"/>
      <c r="D581" s="3"/>
      <c r="E581" s="3"/>
      <c r="F581" s="3"/>
      <c r="G581" s="3"/>
      <c r="H581" s="8"/>
      <c r="I581" s="1"/>
    </row>
    <row r="582" spans="1:9" x14ac:dyDescent="0.3">
      <c r="A582" s="19"/>
      <c r="B582" s="3"/>
      <c r="C582" s="3"/>
      <c r="D582" s="3"/>
      <c r="E582" s="3"/>
      <c r="F582" s="3"/>
      <c r="G582" s="3"/>
      <c r="H582" s="8"/>
      <c r="I582" s="1"/>
    </row>
    <row r="583" spans="1:9" x14ac:dyDescent="0.3">
      <c r="A583" s="19"/>
      <c r="B583" s="3"/>
      <c r="C583" s="3"/>
      <c r="D583" s="3"/>
      <c r="E583" s="3"/>
      <c r="F583" s="3"/>
      <c r="G583" s="3"/>
      <c r="H583" s="8"/>
      <c r="I583" s="1"/>
    </row>
    <row r="584" spans="1:9" x14ac:dyDescent="0.3">
      <c r="A584" s="19"/>
      <c r="B584" s="3"/>
      <c r="C584" s="3"/>
      <c r="D584" s="3"/>
      <c r="E584" s="3"/>
      <c r="F584" s="3"/>
      <c r="G584" s="3"/>
      <c r="H584" s="8"/>
      <c r="I584" s="1"/>
    </row>
    <row r="585" spans="1:9" x14ac:dyDescent="0.3">
      <c r="A585" s="19"/>
      <c r="B585" s="3"/>
      <c r="C585" s="3"/>
      <c r="D585" s="3"/>
      <c r="E585" s="3"/>
      <c r="F585" s="3"/>
      <c r="G585" s="3"/>
      <c r="H585" s="8"/>
      <c r="I585" s="1"/>
    </row>
    <row r="586" spans="1:9" x14ac:dyDescent="0.3">
      <c r="A586" s="19"/>
      <c r="B586" s="3"/>
      <c r="C586" s="3"/>
      <c r="D586" s="3"/>
      <c r="E586" s="3"/>
      <c r="F586" s="3"/>
      <c r="G586" s="3"/>
      <c r="H586" s="8"/>
      <c r="I586" s="1"/>
    </row>
    <row r="587" spans="1:9" x14ac:dyDescent="0.3">
      <c r="A587" s="19"/>
      <c r="B587" s="3"/>
      <c r="C587" s="3"/>
      <c r="D587" s="3"/>
      <c r="E587" s="3"/>
      <c r="F587" s="3"/>
      <c r="G587" s="3"/>
      <c r="H587" s="8"/>
      <c r="I587" s="1"/>
    </row>
    <row r="588" spans="1:9" x14ac:dyDescent="0.3">
      <c r="A588" s="19"/>
      <c r="B588" s="3"/>
      <c r="C588" s="3"/>
      <c r="D588" s="3"/>
      <c r="E588" s="3"/>
      <c r="F588" s="3"/>
      <c r="G588" s="3"/>
      <c r="H588" s="8"/>
      <c r="I588" s="1"/>
    </row>
    <row r="589" spans="1:9" x14ac:dyDescent="0.3">
      <c r="A589" s="19"/>
      <c r="B589" s="3"/>
      <c r="C589" s="3"/>
      <c r="D589" s="3"/>
      <c r="E589" s="3"/>
      <c r="F589" s="3"/>
      <c r="G589" s="3"/>
      <c r="H589" s="8"/>
      <c r="I589" s="1"/>
    </row>
    <row r="590" spans="1:9" x14ac:dyDescent="0.3">
      <c r="A590" s="19"/>
      <c r="B590" s="3"/>
      <c r="C590" s="3"/>
      <c r="D590" s="3"/>
      <c r="E590" s="3"/>
      <c r="F590" s="3"/>
      <c r="G590" s="3"/>
      <c r="H590" s="8"/>
      <c r="I590" s="1"/>
    </row>
    <row r="591" spans="1:9" x14ac:dyDescent="0.3">
      <c r="A591" s="19"/>
      <c r="B591" s="3"/>
      <c r="C591" s="3"/>
      <c r="D591" s="3"/>
      <c r="E591" s="3"/>
      <c r="F591" s="3"/>
      <c r="G591" s="3"/>
      <c r="H591" s="8"/>
      <c r="I591" s="1"/>
    </row>
    <row r="592" spans="1:9" x14ac:dyDescent="0.3">
      <c r="A592" s="19"/>
      <c r="B592" s="3"/>
      <c r="C592" s="3"/>
      <c r="D592" s="3"/>
      <c r="E592" s="3"/>
      <c r="F592" s="3"/>
      <c r="G592" s="3"/>
      <c r="H592" s="8"/>
      <c r="I592" s="1"/>
    </row>
    <row r="593" spans="1:9" x14ac:dyDescent="0.3">
      <c r="A593" s="19"/>
      <c r="B593" s="3"/>
      <c r="C593" s="3"/>
      <c r="D593" s="3"/>
      <c r="E593" s="3"/>
      <c r="F593" s="3"/>
      <c r="G593" s="3"/>
      <c r="H593" s="8"/>
      <c r="I593" s="1"/>
    </row>
    <row r="594" spans="1:9" x14ac:dyDescent="0.3">
      <c r="A594" s="19"/>
      <c r="B594" s="3"/>
      <c r="C594" s="3"/>
      <c r="D594" s="3"/>
      <c r="E594" s="3"/>
      <c r="F594" s="3"/>
      <c r="G594" s="3"/>
      <c r="H594" s="8"/>
      <c r="I594" s="1"/>
    </row>
    <row r="595" spans="1:9" x14ac:dyDescent="0.3">
      <c r="A595" s="19"/>
      <c r="B595" s="3"/>
      <c r="C595" s="3"/>
      <c r="D595" s="3"/>
      <c r="E595" s="3"/>
      <c r="F595" s="3"/>
      <c r="G595" s="3"/>
      <c r="H595" s="8"/>
      <c r="I595" s="1"/>
    </row>
    <row r="596" spans="1:9" x14ac:dyDescent="0.3">
      <c r="A596" s="19"/>
      <c r="B596" s="3"/>
      <c r="C596" s="3"/>
      <c r="D596" s="3"/>
      <c r="E596" s="3"/>
      <c r="F596" s="3"/>
      <c r="G596" s="3"/>
      <c r="H596" s="8"/>
      <c r="I596" s="1"/>
    </row>
    <row r="597" spans="1:9" x14ac:dyDescent="0.3">
      <c r="A597" s="19"/>
      <c r="B597" s="3"/>
      <c r="C597" s="3"/>
      <c r="D597" s="3"/>
      <c r="E597" s="3"/>
      <c r="F597" s="3"/>
      <c r="G597" s="3"/>
      <c r="H597" s="8"/>
      <c r="I597" s="1"/>
    </row>
    <row r="598" spans="1:9" x14ac:dyDescent="0.3">
      <c r="A598" s="19"/>
      <c r="B598" s="3"/>
      <c r="C598" s="3"/>
      <c r="D598" s="3"/>
      <c r="E598" s="3"/>
      <c r="F598" s="3"/>
      <c r="G598" s="3"/>
      <c r="H598" s="8"/>
      <c r="I598" s="1"/>
    </row>
    <row r="599" spans="1:9" x14ac:dyDescent="0.3">
      <c r="A599" s="19"/>
      <c r="B599" s="3"/>
      <c r="C599" s="3"/>
      <c r="D599" s="3"/>
      <c r="E599" s="3"/>
      <c r="F599" s="3"/>
      <c r="G599" s="3"/>
      <c r="H599" s="8"/>
      <c r="I599" s="1"/>
    </row>
    <row r="600" spans="1:9" x14ac:dyDescent="0.3">
      <c r="A600" s="19"/>
      <c r="B600" s="3"/>
      <c r="C600" s="3"/>
      <c r="D600" s="3"/>
      <c r="E600" s="3"/>
      <c r="F600" s="3"/>
      <c r="G600" s="3"/>
      <c r="H600" s="8"/>
      <c r="I600" s="1"/>
    </row>
    <row r="601" spans="1:9" x14ac:dyDescent="0.3">
      <c r="A601" s="19"/>
      <c r="B601" s="3"/>
      <c r="C601" s="3"/>
      <c r="D601" s="3"/>
      <c r="E601" s="3"/>
      <c r="F601" s="3"/>
      <c r="G601" s="3"/>
      <c r="H601" s="8"/>
      <c r="I601" s="1"/>
    </row>
    <row r="602" spans="1:9" x14ac:dyDescent="0.3">
      <c r="A602" s="19"/>
      <c r="B602" s="3"/>
      <c r="C602" s="3"/>
      <c r="D602" s="3"/>
      <c r="E602" s="3"/>
      <c r="F602" s="3"/>
      <c r="G602" s="3"/>
      <c r="H602" s="8"/>
      <c r="I602" s="1"/>
    </row>
    <row r="603" spans="1:9" x14ac:dyDescent="0.3">
      <c r="A603" s="19"/>
      <c r="B603" s="3"/>
      <c r="C603" s="3"/>
      <c r="D603" s="3"/>
      <c r="E603" s="3"/>
      <c r="F603" s="3"/>
      <c r="G603" s="3"/>
      <c r="H603" s="8"/>
      <c r="I603" s="1"/>
    </row>
    <row r="604" spans="1:9" x14ac:dyDescent="0.3">
      <c r="A604" s="19"/>
      <c r="B604" s="3"/>
      <c r="C604" s="3"/>
      <c r="D604" s="3"/>
      <c r="E604" s="3"/>
      <c r="F604" s="3"/>
      <c r="G604" s="3"/>
      <c r="H604" s="8"/>
      <c r="I604" s="1"/>
    </row>
    <row r="605" spans="1:9" x14ac:dyDescent="0.3">
      <c r="A605" s="19"/>
      <c r="B605" s="3"/>
      <c r="C605" s="4"/>
      <c r="D605" s="3"/>
      <c r="E605" s="3"/>
      <c r="F605" s="3"/>
      <c r="G605" s="3"/>
      <c r="H605" s="8"/>
      <c r="I605" s="1"/>
    </row>
    <row r="606" spans="1:9" x14ac:dyDescent="0.3">
      <c r="A606" s="19"/>
      <c r="B606" s="3"/>
      <c r="C606" s="3"/>
      <c r="D606" s="3"/>
      <c r="E606" s="3"/>
      <c r="F606" s="3"/>
      <c r="G606" s="3"/>
      <c r="H606" s="8"/>
      <c r="I606" s="1"/>
    </row>
    <row r="607" spans="1:9" x14ac:dyDescent="0.3">
      <c r="A607" s="19"/>
      <c r="B607" s="3"/>
      <c r="C607" s="3"/>
      <c r="D607" s="3"/>
      <c r="E607" s="3"/>
      <c r="F607" s="3"/>
      <c r="G607" s="3"/>
      <c r="H607" s="8"/>
      <c r="I607" s="1"/>
    </row>
    <row r="608" spans="1:9" x14ac:dyDescent="0.3">
      <c r="A608" s="19"/>
      <c r="B608" s="3"/>
      <c r="C608" s="3"/>
      <c r="D608" s="3"/>
      <c r="E608" s="3"/>
      <c r="F608" s="3"/>
      <c r="G608" s="3"/>
      <c r="H608" s="8"/>
      <c r="I608" s="1"/>
    </row>
    <row r="609" spans="1:9" x14ac:dyDescent="0.3">
      <c r="A609" s="19"/>
      <c r="B609" s="3"/>
      <c r="C609" s="3"/>
      <c r="D609" s="3"/>
      <c r="E609" s="3"/>
      <c r="F609" s="3"/>
      <c r="G609" s="3"/>
      <c r="H609" s="8"/>
      <c r="I609" s="1"/>
    </row>
    <row r="610" spans="1:9" x14ac:dyDescent="0.3">
      <c r="A610" s="19"/>
      <c r="B610" s="3"/>
      <c r="C610" s="3"/>
      <c r="D610" s="3"/>
      <c r="E610" s="3"/>
      <c r="F610" s="3"/>
      <c r="G610" s="3"/>
      <c r="H610" s="8"/>
      <c r="I610" s="1"/>
    </row>
    <row r="611" spans="1:9" x14ac:dyDescent="0.3">
      <c r="A611" s="19"/>
      <c r="B611" s="3"/>
      <c r="C611" s="3"/>
      <c r="D611" s="3"/>
      <c r="E611" s="3"/>
      <c r="F611" s="3"/>
      <c r="G611" s="3"/>
      <c r="H611" s="8"/>
      <c r="I611" s="1"/>
    </row>
    <row r="612" spans="1:9" x14ac:dyDescent="0.3">
      <c r="A612" s="19"/>
      <c r="B612" s="3"/>
      <c r="C612" s="3"/>
      <c r="D612" s="3"/>
      <c r="E612" s="3"/>
      <c r="F612" s="3"/>
      <c r="G612" s="3"/>
      <c r="H612" s="8"/>
      <c r="I612" s="1"/>
    </row>
    <row r="613" spans="1:9" x14ac:dyDescent="0.3">
      <c r="A613" s="19"/>
      <c r="B613" s="3"/>
      <c r="C613" s="3"/>
      <c r="D613" s="3"/>
      <c r="E613" s="3"/>
      <c r="F613" s="3"/>
      <c r="G613" s="3"/>
      <c r="H613" s="8"/>
      <c r="I613" s="1"/>
    </row>
    <row r="614" spans="1:9" x14ac:dyDescent="0.3">
      <c r="A614" s="19"/>
      <c r="B614" s="3"/>
      <c r="C614" s="3"/>
      <c r="D614" s="3"/>
      <c r="E614" s="3"/>
      <c r="F614" s="3"/>
      <c r="G614" s="3"/>
      <c r="H614" s="8"/>
      <c r="I614" s="1"/>
    </row>
    <row r="615" spans="1:9" x14ac:dyDescent="0.3">
      <c r="A615" s="19"/>
      <c r="B615" s="3"/>
      <c r="C615" s="3"/>
      <c r="D615" s="3"/>
      <c r="E615" s="3"/>
      <c r="F615" s="3"/>
      <c r="G615" s="3"/>
      <c r="H615" s="8"/>
      <c r="I615" s="1"/>
    </row>
    <row r="616" spans="1:9" x14ac:dyDescent="0.3">
      <c r="A616" s="19"/>
      <c r="B616" s="3"/>
      <c r="C616" s="3"/>
      <c r="D616" s="3"/>
      <c r="E616" s="3"/>
      <c r="F616" s="3"/>
      <c r="G616" s="3"/>
      <c r="H616" s="8"/>
      <c r="I616" s="1"/>
    </row>
    <row r="617" spans="1:9" x14ac:dyDescent="0.3">
      <c r="A617" s="19"/>
      <c r="B617" s="3"/>
      <c r="C617" s="3"/>
      <c r="D617" s="3"/>
      <c r="E617" s="3"/>
      <c r="F617" s="3"/>
      <c r="G617" s="3"/>
      <c r="H617" s="8"/>
      <c r="I617" s="1"/>
    </row>
    <row r="618" spans="1:9" x14ac:dyDescent="0.3">
      <c r="A618" s="19"/>
      <c r="B618" s="3"/>
      <c r="C618" s="3"/>
      <c r="D618" s="3"/>
      <c r="E618" s="3"/>
      <c r="F618" s="3"/>
      <c r="G618" s="3"/>
      <c r="H618" s="8"/>
      <c r="I618" s="1"/>
    </row>
    <row r="619" spans="1:9" x14ac:dyDescent="0.3">
      <c r="A619" s="19"/>
      <c r="B619" s="3"/>
      <c r="C619" s="3"/>
      <c r="D619" s="3"/>
      <c r="E619" s="3"/>
      <c r="F619" s="3"/>
      <c r="G619" s="3"/>
      <c r="H619" s="8"/>
      <c r="I619" s="1"/>
    </row>
    <row r="620" spans="1:9" x14ac:dyDescent="0.3">
      <c r="A620" s="19"/>
      <c r="B620" s="3"/>
      <c r="C620" s="3"/>
      <c r="D620" s="3"/>
      <c r="E620" s="3"/>
      <c r="F620" s="3"/>
      <c r="G620" s="3"/>
      <c r="H620" s="8"/>
      <c r="I620" s="1"/>
    </row>
    <row r="621" spans="1:9" x14ac:dyDescent="0.3">
      <c r="A621" s="19"/>
      <c r="B621" s="3"/>
      <c r="C621" s="3"/>
      <c r="D621" s="3"/>
      <c r="E621" s="3"/>
      <c r="F621" s="3"/>
      <c r="G621" s="3"/>
      <c r="H621" s="8"/>
      <c r="I621" s="1"/>
    </row>
    <row r="622" spans="1:9" x14ac:dyDescent="0.3">
      <c r="A622" s="19"/>
      <c r="B622" s="3"/>
      <c r="C622" s="3"/>
      <c r="D622" s="3"/>
      <c r="E622" s="3"/>
      <c r="F622" s="3"/>
      <c r="G622" s="3"/>
      <c r="H622" s="8"/>
      <c r="I622" s="1"/>
    </row>
    <row r="623" spans="1:9" x14ac:dyDescent="0.3">
      <c r="A623" s="19"/>
      <c r="B623" s="3"/>
      <c r="C623" s="3"/>
      <c r="D623" s="3"/>
      <c r="E623" s="3"/>
      <c r="F623" s="3"/>
      <c r="G623" s="3"/>
      <c r="H623" s="8"/>
      <c r="I623" s="1"/>
    </row>
    <row r="624" spans="1:9" x14ac:dyDescent="0.3">
      <c r="A624" s="19"/>
      <c r="B624" s="3"/>
      <c r="C624" s="3"/>
      <c r="D624" s="3"/>
      <c r="E624" s="3"/>
      <c r="F624" s="3"/>
      <c r="G624" s="3"/>
      <c r="H624" s="8"/>
      <c r="I624" s="1"/>
    </row>
    <row r="625" spans="1:9" x14ac:dyDescent="0.3">
      <c r="A625" s="19"/>
      <c r="B625" s="3"/>
      <c r="C625" s="3"/>
      <c r="D625" s="3"/>
      <c r="E625" s="3"/>
      <c r="F625" s="3"/>
      <c r="G625" s="3"/>
      <c r="H625" s="8"/>
      <c r="I625" s="1"/>
    </row>
    <row r="626" spans="1:9" x14ac:dyDescent="0.3">
      <c r="A626" s="19"/>
      <c r="B626" s="3"/>
      <c r="C626" s="3"/>
      <c r="D626" s="3"/>
      <c r="E626" s="3"/>
      <c r="F626" s="3"/>
      <c r="G626" s="3"/>
      <c r="H626" s="8"/>
      <c r="I626" s="1"/>
    </row>
    <row r="627" spans="1:9" x14ac:dyDescent="0.3">
      <c r="A627" s="19"/>
      <c r="B627" s="3"/>
      <c r="C627" s="3"/>
      <c r="D627" s="3"/>
      <c r="E627" s="3"/>
      <c r="F627" s="3"/>
      <c r="G627" s="3"/>
      <c r="H627" s="8"/>
      <c r="I627" s="1"/>
    </row>
    <row r="628" spans="1:9" x14ac:dyDescent="0.3">
      <c r="A628" s="19"/>
      <c r="B628" s="3"/>
      <c r="C628" s="3"/>
      <c r="D628" s="3"/>
      <c r="E628" s="3"/>
      <c r="F628" s="3"/>
      <c r="G628" s="3"/>
      <c r="H628" s="8"/>
      <c r="I628" s="1"/>
    </row>
    <row r="629" spans="1:9" x14ac:dyDescent="0.3">
      <c r="A629" s="19"/>
      <c r="B629" s="3"/>
      <c r="C629" s="3"/>
      <c r="D629" s="3"/>
      <c r="E629" s="3"/>
      <c r="F629" s="3"/>
      <c r="G629" s="3"/>
      <c r="H629" s="8"/>
      <c r="I629" s="1"/>
    </row>
    <row r="630" spans="1:9" x14ac:dyDescent="0.3">
      <c r="A630" s="19"/>
      <c r="B630" s="3"/>
      <c r="C630" s="3"/>
      <c r="D630" s="3"/>
      <c r="E630" s="3"/>
      <c r="F630" s="3"/>
      <c r="G630" s="3"/>
      <c r="H630" s="8"/>
      <c r="I630" s="1"/>
    </row>
    <row r="631" spans="1:9" x14ac:dyDescent="0.3">
      <c r="A631" s="19"/>
      <c r="B631" s="3"/>
      <c r="C631" s="3"/>
      <c r="D631" s="3"/>
      <c r="E631" s="3"/>
      <c r="F631" s="3"/>
      <c r="G631" s="3"/>
      <c r="H631" s="8"/>
      <c r="I631" s="1"/>
    </row>
    <row r="632" spans="1:9" x14ac:dyDescent="0.3">
      <c r="A632" s="19"/>
      <c r="B632" s="3"/>
      <c r="C632" s="3"/>
      <c r="D632" s="3"/>
      <c r="E632" s="3"/>
      <c r="F632" s="3"/>
      <c r="G632" s="3"/>
      <c r="H632" s="8"/>
      <c r="I632" s="1"/>
    </row>
    <row r="633" spans="1:9" x14ac:dyDescent="0.3">
      <c r="A633" s="19"/>
      <c r="B633" s="3"/>
      <c r="C633" s="3"/>
      <c r="D633" s="3"/>
      <c r="E633" s="3"/>
      <c r="F633" s="3"/>
      <c r="G633" s="3"/>
      <c r="H633" s="8"/>
      <c r="I633" s="1"/>
    </row>
    <row r="634" spans="1:9" x14ac:dyDescent="0.3">
      <c r="A634" s="19"/>
      <c r="B634" s="3"/>
      <c r="C634" s="3"/>
      <c r="D634" s="3"/>
      <c r="E634" s="3"/>
      <c r="F634" s="3"/>
      <c r="G634" s="3"/>
      <c r="H634" s="8"/>
      <c r="I634" s="1"/>
    </row>
    <row r="635" spans="1:9" x14ac:dyDescent="0.3">
      <c r="A635" s="19"/>
      <c r="B635" s="3"/>
      <c r="C635" s="3"/>
      <c r="D635" s="3"/>
      <c r="E635" s="3"/>
      <c r="F635" s="3"/>
      <c r="G635" s="3"/>
      <c r="H635" s="8"/>
      <c r="I635" s="1"/>
    </row>
    <row r="636" spans="1:9" x14ac:dyDescent="0.3">
      <c r="A636" s="19"/>
      <c r="B636" s="3"/>
      <c r="C636" s="3"/>
      <c r="D636" s="3"/>
      <c r="E636" s="3"/>
      <c r="F636" s="3"/>
      <c r="G636" s="3"/>
      <c r="H636" s="8"/>
      <c r="I636" s="1"/>
    </row>
    <row r="637" spans="1:9" x14ac:dyDescent="0.3">
      <c r="A637" s="19"/>
      <c r="B637" s="3"/>
      <c r="C637" s="3"/>
      <c r="D637" s="3"/>
      <c r="E637" s="3"/>
      <c r="F637" s="3"/>
      <c r="G637" s="3"/>
      <c r="H637" s="8"/>
      <c r="I637" s="1"/>
    </row>
    <row r="638" spans="1:9" x14ac:dyDescent="0.3">
      <c r="A638" s="19"/>
      <c r="B638" s="3"/>
      <c r="C638" s="3"/>
      <c r="D638" s="3"/>
      <c r="E638" s="3"/>
      <c r="F638" s="3"/>
      <c r="G638" s="3"/>
      <c r="H638" s="8"/>
      <c r="I638" s="1"/>
    </row>
    <row r="639" spans="1:9" x14ac:dyDescent="0.3">
      <c r="A639" s="19"/>
      <c r="B639" s="3"/>
      <c r="C639" s="3"/>
      <c r="D639" s="3"/>
      <c r="E639" s="3"/>
      <c r="F639" s="3"/>
      <c r="G639" s="3"/>
      <c r="H639" s="8"/>
      <c r="I639" s="1"/>
    </row>
    <row r="640" spans="1:9" x14ac:dyDescent="0.3">
      <c r="A640" s="19"/>
      <c r="B640" s="3"/>
      <c r="C640" s="3"/>
      <c r="D640" s="3"/>
      <c r="E640" s="3"/>
      <c r="F640" s="3"/>
      <c r="G640" s="3"/>
      <c r="H640" s="8"/>
      <c r="I640" s="1"/>
    </row>
    <row r="641" spans="1:9" x14ac:dyDescent="0.3">
      <c r="A641" s="19"/>
      <c r="B641" s="3"/>
      <c r="C641" s="3"/>
      <c r="D641" s="3"/>
      <c r="E641" s="3"/>
      <c r="F641" s="3"/>
      <c r="G641" s="3"/>
      <c r="H641" s="8"/>
      <c r="I641" s="1"/>
    </row>
    <row r="642" spans="1:9" x14ac:dyDescent="0.3">
      <c r="A642" s="19"/>
      <c r="B642" s="3"/>
      <c r="C642" s="3"/>
      <c r="D642" s="3"/>
      <c r="E642" s="3"/>
      <c r="F642" s="3"/>
      <c r="G642" s="3"/>
      <c r="H642" s="8"/>
      <c r="I642" s="1"/>
    </row>
    <row r="643" spans="1:9" x14ac:dyDescent="0.3">
      <c r="A643" s="19"/>
      <c r="B643" s="3"/>
      <c r="C643" s="3"/>
      <c r="D643" s="3"/>
      <c r="E643" s="3"/>
      <c r="F643" s="3"/>
      <c r="G643" s="3"/>
      <c r="H643" s="8"/>
      <c r="I643" s="1"/>
    </row>
    <row r="644" spans="1:9" x14ac:dyDescent="0.3">
      <c r="A644" s="19"/>
      <c r="B644" s="3"/>
      <c r="C644" s="3"/>
      <c r="D644" s="3"/>
      <c r="E644" s="3"/>
      <c r="F644" s="3"/>
      <c r="G644" s="3"/>
      <c r="H644" s="8"/>
      <c r="I644" s="1"/>
    </row>
    <row r="645" spans="1:9" x14ac:dyDescent="0.3">
      <c r="A645" s="19"/>
      <c r="B645" s="3"/>
      <c r="C645" s="3"/>
      <c r="D645" s="3"/>
      <c r="E645" s="3"/>
      <c r="F645" s="3"/>
      <c r="G645" s="3"/>
      <c r="H645" s="8"/>
      <c r="I645" s="1"/>
    </row>
    <row r="646" spans="1:9" x14ac:dyDescent="0.3">
      <c r="A646" s="19"/>
      <c r="B646" s="3"/>
      <c r="C646" s="3"/>
      <c r="D646" s="3"/>
      <c r="E646" s="3"/>
      <c r="F646" s="3"/>
      <c r="G646" s="3"/>
      <c r="H646" s="8"/>
      <c r="I646" s="1"/>
    </row>
    <row r="647" spans="1:9" x14ac:dyDescent="0.3">
      <c r="A647" s="19"/>
      <c r="B647" s="3"/>
      <c r="C647" s="3"/>
      <c r="D647" s="3"/>
      <c r="E647" s="3"/>
      <c r="F647" s="3"/>
      <c r="G647" s="3"/>
      <c r="H647" s="8"/>
      <c r="I647" s="1"/>
    </row>
    <row r="648" spans="1:9" x14ac:dyDescent="0.3">
      <c r="A648" s="19"/>
      <c r="B648" s="3"/>
      <c r="C648" s="3"/>
      <c r="D648" s="3"/>
      <c r="E648" s="3"/>
      <c r="F648" s="3"/>
      <c r="G648" s="3"/>
      <c r="H648" s="8"/>
      <c r="I648" s="1"/>
    </row>
    <row r="649" spans="1:9" x14ac:dyDescent="0.3">
      <c r="A649" s="19"/>
      <c r="B649" s="3"/>
      <c r="C649" s="3"/>
      <c r="D649" s="3"/>
      <c r="E649" s="3"/>
      <c r="F649" s="3"/>
      <c r="G649" s="3"/>
      <c r="H649" s="8"/>
      <c r="I649" s="1"/>
    </row>
    <row r="650" spans="1:9" x14ac:dyDescent="0.3">
      <c r="A650" s="19"/>
      <c r="B650" s="3"/>
      <c r="C650" s="3"/>
      <c r="D650" s="3"/>
      <c r="E650" s="3"/>
      <c r="F650" s="3"/>
      <c r="G650" s="3"/>
      <c r="H650" s="8"/>
      <c r="I650" s="1"/>
    </row>
    <row r="651" spans="1:9" x14ac:dyDescent="0.3">
      <c r="A651" s="19"/>
      <c r="B651" s="3"/>
      <c r="C651" s="3"/>
      <c r="D651" s="3"/>
      <c r="E651" s="3"/>
      <c r="F651" s="3"/>
      <c r="G651" s="3"/>
      <c r="H651" s="8"/>
      <c r="I651" s="1"/>
    </row>
    <row r="652" spans="1:9" x14ac:dyDescent="0.3">
      <c r="A652" s="19"/>
      <c r="B652" s="3"/>
      <c r="C652" s="3"/>
      <c r="D652" s="3"/>
      <c r="E652" s="3"/>
      <c r="F652" s="3"/>
      <c r="G652" s="3"/>
      <c r="H652" s="8"/>
      <c r="I652" s="1"/>
    </row>
    <row r="653" spans="1:9" x14ac:dyDescent="0.3">
      <c r="A653" s="19"/>
      <c r="B653" s="3"/>
      <c r="C653" s="3"/>
      <c r="D653" s="3"/>
      <c r="E653" s="3"/>
      <c r="F653" s="3"/>
      <c r="G653" s="3"/>
      <c r="H653" s="8"/>
      <c r="I653" s="1"/>
    </row>
    <row r="654" spans="1:9" x14ac:dyDescent="0.3">
      <c r="A654" s="19"/>
      <c r="B654" s="3"/>
      <c r="C654" s="3"/>
      <c r="D654" s="3"/>
      <c r="E654" s="3"/>
      <c r="F654" s="3"/>
      <c r="G654" s="3"/>
      <c r="H654" s="8"/>
      <c r="I654" s="1"/>
    </row>
    <row r="655" spans="1:9" x14ac:dyDescent="0.3">
      <c r="A655" s="19"/>
      <c r="B655" s="3"/>
      <c r="C655" s="3"/>
      <c r="D655" s="3"/>
      <c r="E655" s="3"/>
      <c r="F655" s="3"/>
      <c r="G655" s="3"/>
      <c r="H655" s="8"/>
      <c r="I655" s="1"/>
    </row>
    <row r="656" spans="1:9" x14ac:dyDescent="0.3">
      <c r="A656" s="19"/>
      <c r="B656" s="3"/>
      <c r="C656" s="3"/>
      <c r="D656" s="3"/>
      <c r="E656" s="3"/>
      <c r="F656" s="3"/>
      <c r="G656" s="3"/>
      <c r="H656" s="12"/>
      <c r="I656" s="1"/>
    </row>
    <row r="657" spans="1:9" x14ac:dyDescent="0.3">
      <c r="A657" s="19"/>
      <c r="B657" s="3"/>
      <c r="C657" s="3"/>
      <c r="D657" s="3"/>
      <c r="E657" s="3"/>
      <c r="F657" s="3"/>
      <c r="G657" s="3"/>
      <c r="H657" s="8"/>
      <c r="I657" s="1"/>
    </row>
    <row r="658" spans="1:9" x14ac:dyDescent="0.3">
      <c r="A658" s="19"/>
      <c r="B658" s="3"/>
      <c r="C658" s="3"/>
      <c r="D658" s="3"/>
      <c r="E658" s="3"/>
      <c r="F658" s="3"/>
      <c r="G658" s="3"/>
      <c r="H658" s="8"/>
      <c r="I658" s="1"/>
    </row>
    <row r="659" spans="1:9" x14ac:dyDescent="0.3">
      <c r="A659" s="19"/>
      <c r="B659" s="3"/>
      <c r="C659" s="3"/>
      <c r="D659" s="3"/>
      <c r="E659" s="3"/>
      <c r="F659" s="3"/>
      <c r="G659" s="3"/>
      <c r="H659" s="8"/>
      <c r="I659" s="1"/>
    </row>
    <row r="660" spans="1:9" x14ac:dyDescent="0.3">
      <c r="A660" s="19"/>
      <c r="B660" s="3"/>
      <c r="C660" s="3"/>
      <c r="D660" s="3"/>
      <c r="E660" s="3"/>
      <c r="F660" s="3"/>
      <c r="G660" s="3"/>
      <c r="H660" s="8"/>
      <c r="I660" s="1"/>
    </row>
    <row r="661" spans="1:9" x14ac:dyDescent="0.3">
      <c r="A661" s="19"/>
      <c r="B661" s="3"/>
      <c r="C661" s="3"/>
      <c r="D661" s="3"/>
      <c r="E661" s="3"/>
      <c r="F661" s="3"/>
      <c r="G661" s="3"/>
      <c r="H661" s="8"/>
      <c r="I661" s="1"/>
    </row>
    <row r="662" spans="1:9" x14ac:dyDescent="0.3">
      <c r="A662" s="19"/>
      <c r="B662" s="3"/>
      <c r="C662" s="3"/>
      <c r="D662" s="3"/>
      <c r="E662" s="3"/>
      <c r="F662" s="3"/>
      <c r="G662" s="3"/>
      <c r="H662" s="8"/>
      <c r="I662" s="1"/>
    </row>
    <row r="663" spans="1:9" x14ac:dyDescent="0.3">
      <c r="A663" s="19"/>
      <c r="B663" s="3"/>
      <c r="C663" s="3"/>
      <c r="D663" s="3"/>
      <c r="E663" s="3"/>
      <c r="F663" s="3"/>
      <c r="G663" s="3"/>
      <c r="H663" s="8"/>
      <c r="I663" s="1"/>
    </row>
    <row r="664" spans="1:9" x14ac:dyDescent="0.3">
      <c r="A664" s="19"/>
      <c r="B664" s="3"/>
      <c r="C664" s="3"/>
      <c r="D664" s="3"/>
      <c r="E664" s="3"/>
      <c r="F664" s="3"/>
      <c r="G664" s="3"/>
      <c r="H664" s="8"/>
      <c r="I664" s="1"/>
    </row>
    <row r="665" spans="1:9" x14ac:dyDescent="0.3">
      <c r="A665" s="19"/>
      <c r="B665" s="3"/>
      <c r="C665" s="3"/>
      <c r="D665" s="3"/>
      <c r="E665" s="3"/>
      <c r="F665" s="3"/>
      <c r="G665" s="3"/>
      <c r="H665" s="8"/>
      <c r="I665" s="1"/>
    </row>
    <row r="666" spans="1:9" x14ac:dyDescent="0.3">
      <c r="A666" s="19"/>
      <c r="B666" s="3"/>
      <c r="C666" s="3"/>
      <c r="D666" s="3"/>
      <c r="E666" s="3"/>
      <c r="F666" s="3"/>
      <c r="G666" s="3"/>
      <c r="H666" s="8"/>
      <c r="I666" s="1"/>
    </row>
    <row r="667" spans="1:9" x14ac:dyDescent="0.3">
      <c r="A667" s="19"/>
      <c r="B667" s="3"/>
      <c r="C667" s="3"/>
      <c r="D667" s="3"/>
      <c r="E667" s="3"/>
      <c r="F667" s="3"/>
      <c r="G667" s="3"/>
      <c r="H667" s="8"/>
      <c r="I667" s="1"/>
    </row>
    <row r="668" spans="1:9" x14ac:dyDescent="0.3">
      <c r="A668" s="19"/>
      <c r="B668" s="3"/>
      <c r="C668" s="3"/>
      <c r="D668" s="3"/>
      <c r="E668" s="3"/>
      <c r="F668" s="3"/>
      <c r="G668" s="3"/>
      <c r="H668" s="8"/>
      <c r="I668" s="1"/>
    </row>
    <row r="669" spans="1:9" x14ac:dyDescent="0.3">
      <c r="A669" s="19"/>
      <c r="B669" s="3"/>
      <c r="C669" s="1"/>
      <c r="D669" s="1"/>
      <c r="E669" s="1"/>
      <c r="F669" s="1"/>
      <c r="G669" s="3"/>
      <c r="H669" s="9"/>
      <c r="I669" s="1"/>
    </row>
    <row r="670" spans="1:9" x14ac:dyDescent="0.3">
      <c r="A670" s="19"/>
      <c r="B670" s="3"/>
      <c r="C670" s="1"/>
      <c r="D670" s="1"/>
      <c r="E670" s="1"/>
      <c r="F670" s="1"/>
      <c r="G670" s="3"/>
      <c r="H670" s="9"/>
      <c r="I670" s="1"/>
    </row>
    <row r="671" spans="1:9" x14ac:dyDescent="0.3">
      <c r="A671" s="19"/>
      <c r="B671" s="3"/>
      <c r="C671" s="1"/>
      <c r="D671" s="1"/>
      <c r="E671" s="1"/>
      <c r="F671" s="1"/>
      <c r="G671" s="3"/>
      <c r="H671" s="9"/>
      <c r="I671" s="1"/>
    </row>
    <row r="672" spans="1:9" x14ac:dyDescent="0.3">
      <c r="A672" s="19"/>
      <c r="B672" s="3"/>
      <c r="C672" s="1"/>
      <c r="D672" s="1"/>
      <c r="E672" s="1"/>
      <c r="F672" s="1"/>
      <c r="G672" s="3"/>
      <c r="H672" s="9"/>
      <c r="I672" s="1"/>
    </row>
    <row r="673" spans="1:9" x14ac:dyDescent="0.3">
      <c r="A673" s="19"/>
      <c r="B673" s="3"/>
      <c r="C673" s="1"/>
      <c r="D673" s="1"/>
      <c r="E673" s="1"/>
      <c r="F673" s="1"/>
      <c r="G673" s="3"/>
      <c r="H673" s="9"/>
      <c r="I673" s="1"/>
    </row>
    <row r="674" spans="1:9" x14ac:dyDescent="0.3">
      <c r="A674" s="19"/>
      <c r="B674" s="3"/>
      <c r="C674" s="1"/>
      <c r="D674" s="1"/>
      <c r="E674" s="1"/>
      <c r="F674" s="1"/>
      <c r="G674" s="3"/>
      <c r="H674" s="9"/>
      <c r="I674" s="1"/>
    </row>
    <row r="675" spans="1:9" x14ac:dyDescent="0.3">
      <c r="A675" s="19"/>
      <c r="B675" s="3"/>
      <c r="C675" s="1"/>
      <c r="D675" s="1"/>
      <c r="E675" s="1"/>
      <c r="F675" s="1"/>
      <c r="G675" s="3"/>
      <c r="H675" s="9"/>
      <c r="I675" s="1"/>
    </row>
    <row r="676" spans="1:9" x14ac:dyDescent="0.3">
      <c r="A676" s="19"/>
      <c r="B676" s="3"/>
      <c r="C676" s="1"/>
      <c r="D676" s="1"/>
      <c r="E676" s="1"/>
      <c r="F676" s="1"/>
      <c r="G676" s="3"/>
      <c r="H676" s="9"/>
      <c r="I676" s="1"/>
    </row>
    <row r="677" spans="1:9" x14ac:dyDescent="0.3">
      <c r="A677" s="19"/>
      <c r="B677" s="3"/>
      <c r="C677" s="1"/>
      <c r="D677" s="1"/>
      <c r="E677" s="1"/>
      <c r="F677" s="1"/>
      <c r="G677" s="3"/>
      <c r="H677" s="9"/>
      <c r="I677" s="1"/>
    </row>
    <row r="678" spans="1:9" x14ac:dyDescent="0.3">
      <c r="A678" s="19"/>
      <c r="B678" s="3"/>
      <c r="C678" s="1"/>
      <c r="D678" s="1"/>
      <c r="E678" s="1"/>
      <c r="F678" s="1"/>
      <c r="G678" s="3"/>
      <c r="H678" s="9"/>
      <c r="I678" s="1"/>
    </row>
    <row r="679" spans="1:9" x14ac:dyDescent="0.3">
      <c r="A679" s="19"/>
      <c r="B679" s="3"/>
      <c r="C679" s="1"/>
      <c r="D679" s="1"/>
      <c r="E679" s="1"/>
      <c r="F679" s="1"/>
      <c r="G679" s="3"/>
      <c r="H679" s="9"/>
      <c r="I679" s="1"/>
    </row>
    <row r="680" spans="1:9" x14ac:dyDescent="0.3">
      <c r="A680" s="19"/>
      <c r="B680" s="3"/>
      <c r="C680" s="1"/>
      <c r="D680" s="1"/>
      <c r="E680" s="1"/>
      <c r="F680" s="1"/>
      <c r="G680" s="3"/>
      <c r="H680" s="9"/>
      <c r="I680" s="1"/>
    </row>
    <row r="681" spans="1:9" x14ac:dyDescent="0.3">
      <c r="A681" s="19"/>
      <c r="B681" s="3"/>
      <c r="C681" s="1"/>
      <c r="D681" s="1"/>
      <c r="E681" s="1"/>
      <c r="F681" s="1"/>
      <c r="G681" s="3"/>
      <c r="H681" s="9"/>
      <c r="I681" s="1"/>
    </row>
    <row r="682" spans="1:9" x14ac:dyDescent="0.3">
      <c r="A682" s="19"/>
      <c r="B682" s="3"/>
      <c r="C682" s="1"/>
      <c r="D682" s="1"/>
      <c r="E682" s="1"/>
      <c r="F682" s="1"/>
      <c r="G682" s="3"/>
      <c r="H682" s="9"/>
      <c r="I682" s="1"/>
    </row>
    <row r="683" spans="1:9" x14ac:dyDescent="0.3">
      <c r="A683" s="19"/>
      <c r="B683" s="3"/>
      <c r="C683" s="1"/>
      <c r="D683" s="1"/>
      <c r="E683" s="1"/>
      <c r="F683" s="1"/>
      <c r="G683" s="3"/>
      <c r="H683" s="9"/>
      <c r="I683" s="1"/>
    </row>
    <row r="684" spans="1:9" x14ac:dyDescent="0.3">
      <c r="A684" s="19"/>
      <c r="B684" s="3"/>
      <c r="C684" s="3"/>
      <c r="D684" s="3"/>
      <c r="E684" s="1"/>
      <c r="F684" s="3"/>
      <c r="G684" s="3"/>
      <c r="H684" s="8"/>
      <c r="I684" s="1"/>
    </row>
    <row r="685" spans="1:9" x14ac:dyDescent="0.3">
      <c r="A685" s="19"/>
      <c r="B685" s="3"/>
      <c r="C685" s="1"/>
      <c r="D685" s="1"/>
      <c r="E685" s="1"/>
      <c r="F685" s="1"/>
      <c r="G685" s="1"/>
      <c r="H685" s="9"/>
      <c r="I685" s="1"/>
    </row>
    <row r="686" spans="1:9" x14ac:dyDescent="0.3">
      <c r="A686" s="19"/>
      <c r="B686" s="3"/>
      <c r="C686" s="1"/>
      <c r="D686" s="1"/>
      <c r="E686" s="1"/>
      <c r="F686" s="1"/>
      <c r="G686" s="1"/>
      <c r="H686" s="9"/>
      <c r="I686" s="1"/>
    </row>
    <row r="687" spans="1:9" x14ac:dyDescent="0.3">
      <c r="A687" s="19"/>
      <c r="B687" s="3"/>
      <c r="C687" s="1"/>
      <c r="D687" s="1"/>
      <c r="E687" s="1"/>
      <c r="F687" s="1"/>
      <c r="G687" s="1"/>
      <c r="H687" s="9"/>
      <c r="I687" s="1"/>
    </row>
    <row r="688" spans="1:9" x14ac:dyDescent="0.3">
      <c r="A688" s="19"/>
      <c r="B688" s="3"/>
      <c r="C688" s="1"/>
      <c r="D688" s="1"/>
      <c r="E688" s="1"/>
      <c r="F688" s="1"/>
      <c r="G688" s="1"/>
      <c r="H688" s="9"/>
      <c r="I688" s="1"/>
    </row>
    <row r="689" spans="1:9" x14ac:dyDescent="0.3">
      <c r="A689" s="19"/>
      <c r="B689" s="3"/>
      <c r="C689" s="1"/>
      <c r="D689" s="1"/>
      <c r="E689" s="1"/>
      <c r="F689" s="1"/>
      <c r="G689" s="1"/>
      <c r="H689" s="9"/>
      <c r="I689" s="1"/>
    </row>
    <row r="690" spans="1:9" x14ac:dyDescent="0.3">
      <c r="A690" s="19"/>
      <c r="B690" s="3"/>
      <c r="C690" s="1"/>
      <c r="D690" s="1"/>
      <c r="E690" s="1"/>
      <c r="F690" s="1"/>
      <c r="G690" s="1"/>
      <c r="H690" s="9"/>
      <c r="I690" s="1"/>
    </row>
    <row r="691" spans="1:9" x14ac:dyDescent="0.3">
      <c r="A691" s="19"/>
      <c r="B691" s="3"/>
      <c r="C691" s="1"/>
      <c r="D691" s="1"/>
      <c r="E691" s="1"/>
      <c r="F691" s="1"/>
      <c r="G691" s="1"/>
      <c r="H691" s="9"/>
      <c r="I691" s="1"/>
    </row>
    <row r="692" spans="1:9" x14ac:dyDescent="0.3">
      <c r="A692" s="19"/>
      <c r="B692" s="3"/>
      <c r="C692" s="1"/>
      <c r="D692" s="1"/>
      <c r="E692" s="1"/>
      <c r="F692" s="1"/>
      <c r="G692" s="1"/>
      <c r="H692" s="9"/>
      <c r="I692" s="1"/>
    </row>
    <row r="693" spans="1:9" x14ac:dyDescent="0.3">
      <c r="A693" s="19"/>
      <c r="B693" s="3"/>
      <c r="C693" s="1"/>
      <c r="D693" s="1"/>
      <c r="E693" s="1"/>
      <c r="F693" s="1"/>
      <c r="G693" s="1"/>
      <c r="H693" s="9"/>
      <c r="I693" s="1"/>
    </row>
    <row r="694" spans="1:9" x14ac:dyDescent="0.3">
      <c r="A694" s="19"/>
      <c r="B694" s="3"/>
      <c r="C694" s="1"/>
      <c r="D694" s="1"/>
      <c r="E694" s="1"/>
      <c r="F694" s="1"/>
      <c r="G694" s="1"/>
      <c r="H694" s="9"/>
      <c r="I694" s="1"/>
    </row>
    <row r="695" spans="1:9" x14ac:dyDescent="0.3">
      <c r="A695" s="19"/>
      <c r="B695" s="3"/>
      <c r="C695" s="1"/>
      <c r="D695" s="1"/>
      <c r="E695" s="1"/>
      <c r="F695" s="1"/>
      <c r="G695" s="1"/>
      <c r="H695" s="9"/>
      <c r="I695" s="1"/>
    </row>
    <row r="696" spans="1:9" x14ac:dyDescent="0.3">
      <c r="A696" s="19"/>
      <c r="B696" s="3"/>
      <c r="C696" s="1"/>
      <c r="D696" s="1"/>
      <c r="E696" s="1"/>
      <c r="F696" s="1"/>
      <c r="G696" s="1"/>
      <c r="H696" s="9"/>
      <c r="I696" s="1"/>
    </row>
    <row r="697" spans="1:9" x14ac:dyDescent="0.3">
      <c r="A697" s="19"/>
      <c r="B697" s="3"/>
      <c r="C697" s="1"/>
      <c r="D697" s="1"/>
      <c r="E697" s="1"/>
      <c r="F697" s="1"/>
      <c r="G697" s="1"/>
      <c r="H697" s="9"/>
      <c r="I697" s="1"/>
    </row>
    <row r="698" spans="1:9" x14ac:dyDescent="0.3">
      <c r="A698" s="19"/>
      <c r="B698" s="3"/>
      <c r="C698" s="1"/>
      <c r="D698" s="1"/>
      <c r="E698" s="1"/>
      <c r="F698" s="1"/>
      <c r="G698" s="1"/>
      <c r="H698" s="9"/>
      <c r="I698" s="1"/>
    </row>
    <row r="699" spans="1:9" x14ac:dyDescent="0.3">
      <c r="A699" s="19"/>
      <c r="B699" s="3"/>
      <c r="C699" s="1"/>
      <c r="D699" s="1"/>
      <c r="E699" s="1"/>
      <c r="F699" s="1"/>
      <c r="G699" s="1"/>
      <c r="H699" s="9"/>
      <c r="I699" s="1"/>
    </row>
    <row r="700" spans="1:9" x14ac:dyDescent="0.3">
      <c r="A700" s="19"/>
      <c r="B700" s="3"/>
      <c r="C700" s="1"/>
      <c r="D700" s="1"/>
      <c r="E700" s="1"/>
      <c r="F700" s="1"/>
      <c r="G700" s="1"/>
      <c r="H700" s="9"/>
      <c r="I700" s="1"/>
    </row>
    <row r="701" spans="1:9" x14ac:dyDescent="0.3">
      <c r="A701" s="19"/>
      <c r="B701" s="3"/>
      <c r="C701" s="1"/>
      <c r="D701" s="1"/>
      <c r="E701" s="1"/>
      <c r="F701" s="1"/>
      <c r="G701" s="3"/>
      <c r="H701" s="9"/>
      <c r="I701" s="1"/>
    </row>
    <row r="702" spans="1:9" x14ac:dyDescent="0.3">
      <c r="A702" s="19"/>
      <c r="B702" s="3"/>
      <c r="C702" s="3"/>
      <c r="D702" s="3"/>
      <c r="E702" s="3"/>
      <c r="F702" s="3"/>
      <c r="G702" s="3"/>
      <c r="H702" s="8"/>
      <c r="I702" s="1"/>
    </row>
    <row r="703" spans="1:9" x14ac:dyDescent="0.3">
      <c r="A703" s="19"/>
      <c r="B703" s="3"/>
      <c r="C703" s="3"/>
      <c r="D703" s="3"/>
      <c r="E703" s="3"/>
      <c r="F703" s="3"/>
      <c r="G703" s="3"/>
      <c r="H703" s="8"/>
      <c r="I703" s="1"/>
    </row>
    <row r="704" spans="1:9" x14ac:dyDescent="0.3">
      <c r="A704" s="19"/>
      <c r="B704" s="3"/>
      <c r="C704" s="3"/>
      <c r="D704" s="3"/>
      <c r="E704" s="3"/>
      <c r="F704" s="3"/>
      <c r="G704" s="3"/>
      <c r="H704" s="8"/>
      <c r="I704" s="1"/>
    </row>
    <row r="705" spans="1:9" x14ac:dyDescent="0.3">
      <c r="A705" s="19"/>
      <c r="B705" s="3"/>
      <c r="C705" s="3"/>
      <c r="D705" s="3"/>
      <c r="E705" s="3"/>
      <c r="F705" s="3"/>
      <c r="G705" s="3"/>
      <c r="H705" s="8"/>
      <c r="I705" s="1"/>
    </row>
    <row r="706" spans="1:9" x14ac:dyDescent="0.3">
      <c r="A706" s="19"/>
      <c r="B706" s="3"/>
      <c r="C706" s="3"/>
      <c r="D706" s="3"/>
      <c r="E706" s="3"/>
      <c r="F706" s="3"/>
      <c r="G706" s="3"/>
      <c r="H706" s="8"/>
      <c r="I706" s="1"/>
    </row>
    <row r="707" spans="1:9" x14ac:dyDescent="0.3">
      <c r="A707" s="19"/>
      <c r="B707" s="3"/>
      <c r="C707" s="3"/>
      <c r="D707" s="3"/>
      <c r="E707" s="3"/>
      <c r="F707" s="3"/>
      <c r="G707" s="3"/>
      <c r="H707" s="8"/>
      <c r="I707" s="1"/>
    </row>
    <row r="708" spans="1:9" x14ac:dyDescent="0.3">
      <c r="A708" s="19"/>
      <c r="B708" s="3"/>
      <c r="C708" s="3"/>
      <c r="D708" s="3"/>
      <c r="E708" s="3"/>
      <c r="F708" s="3"/>
      <c r="G708" s="3"/>
      <c r="H708" s="8"/>
      <c r="I708" s="1"/>
    </row>
    <row r="709" spans="1:9" x14ac:dyDescent="0.3">
      <c r="A709" s="19"/>
      <c r="B709" s="3"/>
      <c r="C709" s="3"/>
      <c r="D709" s="3"/>
      <c r="E709" s="3"/>
      <c r="F709" s="3"/>
      <c r="G709" s="3"/>
      <c r="H709" s="8"/>
      <c r="I709" s="1"/>
    </row>
    <row r="710" spans="1:9" x14ac:dyDescent="0.3">
      <c r="A710" s="19"/>
      <c r="B710" s="3"/>
      <c r="C710" s="3"/>
      <c r="D710" s="3"/>
      <c r="E710" s="3"/>
      <c r="F710" s="3"/>
      <c r="G710" s="3"/>
      <c r="H710" s="8"/>
      <c r="I710" s="1"/>
    </row>
    <row r="711" spans="1:9" x14ac:dyDescent="0.3">
      <c r="A711" s="19"/>
      <c r="B711" s="3"/>
      <c r="C711" s="3"/>
      <c r="D711" s="3"/>
      <c r="E711" s="3"/>
      <c r="F711" s="3"/>
      <c r="G711" s="3"/>
      <c r="H711" s="8"/>
      <c r="I711" s="1"/>
    </row>
    <row r="712" spans="1:9" x14ac:dyDescent="0.3">
      <c r="A712" s="19"/>
      <c r="B712" s="3"/>
      <c r="C712" s="3"/>
      <c r="D712" s="3"/>
      <c r="E712" s="3"/>
      <c r="F712" s="3"/>
      <c r="G712" s="3"/>
      <c r="H712" s="8"/>
      <c r="I712" s="1"/>
    </row>
    <row r="713" spans="1:9" x14ac:dyDescent="0.3">
      <c r="A713" s="19"/>
      <c r="B713" s="3"/>
      <c r="C713" s="4"/>
      <c r="D713" s="3"/>
      <c r="E713" s="3"/>
      <c r="F713" s="3"/>
      <c r="G713" s="3"/>
      <c r="H713" s="8"/>
      <c r="I713" s="1"/>
    </row>
    <row r="714" spans="1:9" x14ac:dyDescent="0.3">
      <c r="A714" s="19"/>
      <c r="B714" s="3"/>
      <c r="C714" s="3"/>
      <c r="D714" s="3"/>
      <c r="E714" s="3"/>
      <c r="F714" s="3"/>
      <c r="G714" s="3"/>
      <c r="H714" s="8"/>
      <c r="I714" s="1"/>
    </row>
    <row r="715" spans="1:9" x14ac:dyDescent="0.3">
      <c r="A715" s="19"/>
      <c r="B715" s="3"/>
      <c r="C715" s="3"/>
      <c r="D715" s="3"/>
      <c r="E715" s="3"/>
      <c r="F715" s="3"/>
      <c r="G715" s="3"/>
      <c r="H715" s="8"/>
      <c r="I715" s="1"/>
    </row>
    <row r="716" spans="1:9" x14ac:dyDescent="0.3">
      <c r="A716" s="19"/>
      <c r="B716" s="3"/>
      <c r="C716" s="1"/>
      <c r="D716" s="1"/>
      <c r="E716" s="1"/>
      <c r="F716" s="1"/>
      <c r="G716" s="3"/>
      <c r="H716" s="9"/>
      <c r="I716" s="1"/>
    </row>
    <row r="717" spans="1:9" x14ac:dyDescent="0.3">
      <c r="A717" s="19"/>
      <c r="B717" s="3"/>
      <c r="C717" s="3"/>
      <c r="D717" s="3"/>
      <c r="E717" s="3"/>
      <c r="F717" s="3"/>
      <c r="G717" s="3"/>
      <c r="H717" s="8"/>
      <c r="I717" s="1"/>
    </row>
    <row r="718" spans="1:9" x14ac:dyDescent="0.3">
      <c r="A718" s="19"/>
      <c r="B718" s="3"/>
      <c r="C718" s="3"/>
      <c r="D718" s="3"/>
      <c r="E718" s="3"/>
      <c r="F718" s="3"/>
      <c r="G718" s="3"/>
      <c r="H718" s="8"/>
      <c r="I718" s="1"/>
    </row>
    <row r="719" spans="1:9" x14ac:dyDescent="0.3">
      <c r="A719" s="19"/>
      <c r="B719" s="3"/>
      <c r="C719" s="3"/>
      <c r="D719" s="3"/>
      <c r="E719" s="3"/>
      <c r="F719" s="3"/>
      <c r="G719" s="3"/>
      <c r="H719" s="8"/>
      <c r="I719" s="1"/>
    </row>
    <row r="720" spans="1:9" x14ac:dyDescent="0.3">
      <c r="A720" s="19"/>
      <c r="B720" s="3"/>
      <c r="C720" s="3"/>
      <c r="D720" s="3"/>
      <c r="E720" s="3"/>
      <c r="F720" s="3"/>
      <c r="G720" s="3"/>
      <c r="H720" s="8"/>
      <c r="I720" s="1"/>
    </row>
    <row r="721" spans="1:9" x14ac:dyDescent="0.3">
      <c r="A721" s="19"/>
      <c r="B721" s="3"/>
      <c r="C721" s="3"/>
      <c r="D721" s="3"/>
      <c r="E721" s="3"/>
      <c r="F721" s="3"/>
      <c r="G721" s="3"/>
      <c r="H721" s="8"/>
      <c r="I721" s="1"/>
    </row>
    <row r="722" spans="1:9" x14ac:dyDescent="0.3">
      <c r="A722" s="19"/>
      <c r="B722" s="3"/>
      <c r="C722" s="3"/>
      <c r="D722" s="3"/>
      <c r="E722" s="3"/>
      <c r="F722" s="3"/>
      <c r="G722" s="3"/>
      <c r="H722" s="8"/>
      <c r="I722" s="1"/>
    </row>
    <row r="723" spans="1:9" x14ac:dyDescent="0.3">
      <c r="A723" s="19"/>
      <c r="B723" s="3"/>
      <c r="C723" s="3"/>
      <c r="D723" s="3"/>
      <c r="E723" s="3"/>
      <c r="F723" s="3"/>
      <c r="G723" s="3"/>
      <c r="H723" s="8"/>
      <c r="I723" s="1"/>
    </row>
    <row r="724" spans="1:9" x14ac:dyDescent="0.3">
      <c r="A724" s="19"/>
      <c r="B724" s="3"/>
      <c r="C724" s="3"/>
      <c r="D724" s="3"/>
      <c r="E724" s="3"/>
      <c r="F724" s="3"/>
      <c r="G724" s="3"/>
      <c r="H724" s="8"/>
      <c r="I724" s="1"/>
    </row>
    <row r="725" spans="1:9" x14ac:dyDescent="0.3">
      <c r="A725" s="19"/>
      <c r="B725" s="3"/>
      <c r="C725" s="3"/>
      <c r="D725" s="3"/>
      <c r="E725" s="3"/>
      <c r="F725" s="3"/>
      <c r="G725" s="3"/>
      <c r="H725" s="8"/>
      <c r="I725" s="1"/>
    </row>
    <row r="726" spans="1:9" x14ac:dyDescent="0.3">
      <c r="A726" s="19"/>
      <c r="B726" s="3"/>
      <c r="C726" s="3"/>
      <c r="D726" s="3"/>
      <c r="E726" s="3"/>
      <c r="F726" s="3"/>
      <c r="G726" s="3"/>
      <c r="H726" s="8"/>
      <c r="I726" s="1"/>
    </row>
    <row r="727" spans="1:9" x14ac:dyDescent="0.3">
      <c r="A727" s="19"/>
      <c r="B727" s="3"/>
      <c r="C727" s="3"/>
      <c r="D727" s="3"/>
      <c r="E727" s="3"/>
      <c r="F727" s="3"/>
      <c r="G727" s="3"/>
      <c r="H727" s="8"/>
      <c r="I727" s="1"/>
    </row>
    <row r="728" spans="1:9" x14ac:dyDescent="0.3">
      <c r="A728" s="19"/>
      <c r="B728" s="3"/>
      <c r="C728" s="3"/>
      <c r="D728" s="3"/>
      <c r="E728" s="3"/>
      <c r="F728" s="3"/>
      <c r="G728" s="3"/>
      <c r="H728" s="8"/>
      <c r="I728" s="1"/>
    </row>
    <row r="729" spans="1:9" x14ac:dyDescent="0.3">
      <c r="A729" s="19"/>
      <c r="B729" s="3"/>
      <c r="C729" s="3"/>
      <c r="D729" s="3"/>
      <c r="E729" s="3"/>
      <c r="F729" s="3"/>
      <c r="G729" s="3"/>
      <c r="H729" s="8"/>
      <c r="I729" s="1"/>
    </row>
    <row r="730" spans="1:9" x14ac:dyDescent="0.3">
      <c r="A730" s="19"/>
      <c r="B730" s="3"/>
      <c r="C730" s="3"/>
      <c r="D730" s="3"/>
      <c r="E730" s="3"/>
      <c r="F730" s="3"/>
      <c r="G730" s="3"/>
      <c r="H730" s="8"/>
      <c r="I730" s="1"/>
    </row>
    <row r="731" spans="1:9" x14ac:dyDescent="0.3">
      <c r="A731" s="19"/>
      <c r="B731" s="3"/>
      <c r="C731" s="3"/>
      <c r="D731" s="3"/>
      <c r="E731" s="3"/>
      <c r="F731" s="3"/>
      <c r="G731" s="3"/>
      <c r="H731" s="8"/>
      <c r="I731" s="1"/>
    </row>
    <row r="732" spans="1:9" x14ac:dyDescent="0.3">
      <c r="A732" s="19"/>
      <c r="B732" s="3"/>
      <c r="C732" s="3"/>
      <c r="D732" s="3"/>
      <c r="E732" s="3"/>
      <c r="F732" s="3"/>
      <c r="G732" s="3"/>
      <c r="H732" s="8"/>
      <c r="I732" s="1"/>
    </row>
    <row r="733" spans="1:9" x14ac:dyDescent="0.3">
      <c r="A733" s="19"/>
      <c r="B733" s="3"/>
      <c r="C733" s="3"/>
      <c r="D733" s="3"/>
      <c r="E733" s="3"/>
      <c r="F733" s="3"/>
      <c r="G733" s="3"/>
      <c r="H733" s="8"/>
      <c r="I733" s="1"/>
    </row>
    <row r="734" spans="1:9" x14ac:dyDescent="0.3">
      <c r="A734" s="19"/>
      <c r="B734" s="3"/>
      <c r="C734" s="3"/>
      <c r="D734" s="3"/>
      <c r="E734" s="3"/>
      <c r="F734" s="3"/>
      <c r="G734" s="3"/>
      <c r="H734" s="8"/>
      <c r="I734" s="1"/>
    </row>
    <row r="735" spans="1:9" x14ac:dyDescent="0.3">
      <c r="A735" s="19"/>
      <c r="B735" s="3"/>
      <c r="C735" s="3"/>
      <c r="D735" s="3"/>
      <c r="E735" s="3"/>
      <c r="F735" s="3"/>
      <c r="G735" s="3"/>
      <c r="H735" s="8"/>
      <c r="I735" s="1"/>
    </row>
    <row r="736" spans="1:9" x14ac:dyDescent="0.3">
      <c r="A736" s="19"/>
      <c r="B736" s="3"/>
      <c r="C736" s="3"/>
      <c r="D736" s="3"/>
      <c r="E736" s="3"/>
      <c r="F736" s="3"/>
      <c r="G736" s="3"/>
      <c r="H736" s="8"/>
      <c r="I736" s="1"/>
    </row>
    <row r="737" spans="1:9" x14ac:dyDescent="0.3">
      <c r="A737" s="19"/>
      <c r="B737" s="3"/>
      <c r="C737" s="3"/>
      <c r="D737" s="3"/>
      <c r="E737" s="3"/>
      <c r="F737" s="3"/>
      <c r="G737" s="3"/>
      <c r="H737" s="8"/>
      <c r="I737" s="1"/>
    </row>
    <row r="738" spans="1:9" x14ac:dyDescent="0.3">
      <c r="A738" s="19"/>
      <c r="B738" s="3"/>
      <c r="C738" s="1"/>
      <c r="D738" s="1"/>
      <c r="E738" s="1"/>
      <c r="F738" s="1"/>
      <c r="G738" s="3"/>
      <c r="H738" s="9"/>
      <c r="I738" s="1"/>
    </row>
    <row r="739" spans="1:9" x14ac:dyDescent="0.3">
      <c r="A739" s="19"/>
      <c r="B739" s="3"/>
      <c r="C739" s="3"/>
      <c r="D739" s="3"/>
      <c r="E739" s="3"/>
      <c r="F739" s="3"/>
      <c r="G739" s="3"/>
      <c r="H739" s="14"/>
      <c r="I739" s="1"/>
    </row>
    <row r="740" spans="1:9" x14ac:dyDescent="0.3">
      <c r="A740" s="19"/>
      <c r="B740" s="3"/>
      <c r="C740" s="3"/>
      <c r="D740" s="3"/>
      <c r="E740" s="3"/>
      <c r="F740" s="3"/>
      <c r="G740" s="3"/>
      <c r="H740" s="14"/>
      <c r="I740" s="1"/>
    </row>
    <row r="741" spans="1:9" x14ac:dyDescent="0.3">
      <c r="A741" s="19"/>
      <c r="B741" s="3"/>
      <c r="C741" s="3"/>
      <c r="D741" s="3"/>
      <c r="E741" s="3"/>
      <c r="F741" s="3"/>
      <c r="G741" s="3"/>
      <c r="H741" s="14"/>
      <c r="I741" s="1"/>
    </row>
    <row r="742" spans="1:9" x14ac:dyDescent="0.3">
      <c r="A742" s="19"/>
      <c r="B742" s="3"/>
      <c r="C742" s="3"/>
      <c r="D742" s="3"/>
      <c r="E742" s="3"/>
      <c r="F742" s="3"/>
      <c r="G742" s="3"/>
      <c r="H742" s="14"/>
      <c r="I742" s="1"/>
    </row>
    <row r="743" spans="1:9" x14ac:dyDescent="0.3">
      <c r="A743" s="19"/>
      <c r="B743" s="3"/>
      <c r="C743" s="3"/>
      <c r="D743" s="3"/>
      <c r="E743" s="3"/>
      <c r="F743" s="3"/>
      <c r="G743" s="3"/>
      <c r="H743" s="14"/>
      <c r="I743" s="1"/>
    </row>
    <row r="744" spans="1:9" x14ac:dyDescent="0.3">
      <c r="A744" s="19"/>
      <c r="B744" s="3"/>
      <c r="C744" s="3"/>
      <c r="D744" s="3"/>
      <c r="E744" s="3"/>
      <c r="F744" s="3"/>
      <c r="G744" s="3"/>
      <c r="H744" s="14"/>
      <c r="I744" s="1"/>
    </row>
    <row r="745" spans="1:9" x14ac:dyDescent="0.3">
      <c r="A745" s="19"/>
      <c r="B745" s="3"/>
      <c r="C745" s="3"/>
      <c r="D745" s="3"/>
      <c r="E745" s="3"/>
      <c r="F745" s="3"/>
      <c r="G745" s="3"/>
      <c r="H745" s="14"/>
      <c r="I745" s="1"/>
    </row>
    <row r="746" spans="1:9" x14ac:dyDescent="0.3">
      <c r="A746" s="19"/>
      <c r="B746" s="3"/>
      <c r="C746" s="3"/>
      <c r="D746" s="3"/>
      <c r="E746" s="3"/>
      <c r="F746" s="3"/>
      <c r="G746" s="3"/>
      <c r="H746" s="14"/>
      <c r="I746" s="1"/>
    </row>
    <row r="747" spans="1:9" x14ac:dyDescent="0.3">
      <c r="A747" s="19"/>
      <c r="B747" s="3"/>
      <c r="C747" s="3"/>
      <c r="D747" s="3"/>
      <c r="E747" s="3"/>
      <c r="F747" s="3"/>
      <c r="G747" s="3"/>
      <c r="H747" s="14"/>
      <c r="I747" s="1"/>
    </row>
    <row r="748" spans="1:9" x14ac:dyDescent="0.3">
      <c r="A748" s="19"/>
      <c r="B748" s="3"/>
      <c r="C748" s="3"/>
      <c r="D748" s="3"/>
      <c r="E748" s="3"/>
      <c r="F748" s="3"/>
      <c r="G748" s="3"/>
      <c r="H748" s="14"/>
      <c r="I748" s="1"/>
    </row>
    <row r="749" spans="1:9" x14ac:dyDescent="0.3">
      <c r="A749" s="19"/>
      <c r="B749" s="3"/>
      <c r="C749" s="3"/>
      <c r="D749" s="3"/>
      <c r="E749" s="3"/>
      <c r="F749" s="3"/>
      <c r="G749" s="3"/>
      <c r="H749" s="14"/>
      <c r="I749" s="1"/>
    </row>
    <row r="750" spans="1:9" x14ac:dyDescent="0.3">
      <c r="A750" s="19"/>
      <c r="B750" s="3"/>
      <c r="C750" s="3"/>
      <c r="D750" s="3"/>
      <c r="E750" s="3"/>
      <c r="F750" s="3"/>
      <c r="G750" s="3"/>
      <c r="H750" s="14"/>
      <c r="I750" s="1"/>
    </row>
    <row r="751" spans="1:9" x14ac:dyDescent="0.3">
      <c r="A751" s="19"/>
      <c r="B751" s="3"/>
      <c r="C751" s="3"/>
      <c r="D751" s="3"/>
      <c r="E751" s="3"/>
      <c r="F751" s="3"/>
      <c r="G751" s="3"/>
      <c r="H751" s="14"/>
      <c r="I751" s="1"/>
    </row>
    <row r="752" spans="1:9" x14ac:dyDescent="0.3">
      <c r="A752" s="19"/>
      <c r="B752" s="3"/>
      <c r="C752" s="3"/>
      <c r="D752" s="3"/>
      <c r="E752" s="3"/>
      <c r="F752" s="3"/>
      <c r="G752" s="3"/>
      <c r="H752" s="14"/>
      <c r="I752" s="1"/>
    </row>
    <row r="753" spans="1:9" x14ac:dyDescent="0.3">
      <c r="A753" s="19"/>
      <c r="B753" s="3"/>
      <c r="C753" s="3"/>
      <c r="D753" s="3"/>
      <c r="E753" s="3"/>
      <c r="F753" s="3"/>
      <c r="G753" s="3"/>
      <c r="H753" s="14"/>
      <c r="I753" s="1"/>
    </row>
    <row r="754" spans="1:9" x14ac:dyDescent="0.3">
      <c r="A754" s="19"/>
      <c r="B754" s="3"/>
      <c r="C754" s="3"/>
      <c r="D754" s="3"/>
      <c r="E754" s="3"/>
      <c r="F754" s="3"/>
      <c r="G754" s="3"/>
      <c r="H754" s="14"/>
      <c r="I754" s="1"/>
    </row>
    <row r="755" spans="1:9" x14ac:dyDescent="0.3">
      <c r="A755" s="19"/>
      <c r="B755" s="3"/>
      <c r="C755" s="1"/>
      <c r="D755" s="1"/>
      <c r="E755" s="1"/>
      <c r="F755" s="1"/>
      <c r="G755" s="3"/>
      <c r="H755" s="9"/>
      <c r="I755" s="1"/>
    </row>
    <row r="756" spans="1:9" x14ac:dyDescent="0.3">
      <c r="A756" s="19"/>
      <c r="B756" s="3"/>
      <c r="C756" s="3"/>
      <c r="D756" s="3"/>
      <c r="E756" s="3"/>
      <c r="F756" s="3"/>
      <c r="G756" s="3"/>
      <c r="H756" s="8"/>
      <c r="I756" s="1"/>
    </row>
    <row r="757" spans="1:9" x14ac:dyDescent="0.3">
      <c r="A757" s="19"/>
      <c r="B757" s="3"/>
      <c r="C757" s="1"/>
      <c r="D757" s="1"/>
      <c r="E757" s="1"/>
      <c r="F757" s="1"/>
      <c r="G757" s="3"/>
      <c r="H757" s="9"/>
      <c r="I757" s="1"/>
    </row>
    <row r="758" spans="1:9" x14ac:dyDescent="0.3">
      <c r="A758" s="19"/>
      <c r="B758" s="3"/>
      <c r="C758" s="1"/>
      <c r="D758" s="1"/>
      <c r="E758" s="1"/>
      <c r="F758" s="1"/>
      <c r="G758" s="3"/>
      <c r="H758" s="9"/>
      <c r="I758" s="1"/>
    </row>
    <row r="759" spans="1:9" x14ac:dyDescent="0.3">
      <c r="A759" s="19"/>
      <c r="B759" s="3"/>
      <c r="C759" s="1"/>
      <c r="D759" s="1"/>
      <c r="E759" s="1"/>
      <c r="F759" s="1"/>
      <c r="G759" s="3"/>
      <c r="H759" s="9"/>
      <c r="I759" s="1"/>
    </row>
    <row r="760" spans="1:9" x14ac:dyDescent="0.3">
      <c r="A760" s="19"/>
      <c r="B760" s="3"/>
      <c r="C760" s="1"/>
      <c r="D760" s="1"/>
      <c r="E760" s="1"/>
      <c r="F760" s="1"/>
      <c r="G760" s="3"/>
      <c r="H760" s="9"/>
      <c r="I760" s="1"/>
    </row>
    <row r="761" spans="1:9" x14ac:dyDescent="0.3">
      <c r="A761" s="19"/>
      <c r="B761" s="3"/>
      <c r="C761" s="1"/>
      <c r="D761" s="1"/>
      <c r="E761" s="1"/>
      <c r="F761" s="1"/>
      <c r="G761" s="3"/>
      <c r="H761" s="9"/>
      <c r="I761" s="1"/>
    </row>
    <row r="762" spans="1:9" x14ac:dyDescent="0.3">
      <c r="A762" s="19"/>
      <c r="B762" s="3"/>
      <c r="C762" s="1"/>
      <c r="D762" s="1"/>
      <c r="E762" s="1"/>
      <c r="F762" s="1"/>
      <c r="G762" s="3"/>
      <c r="H762" s="9"/>
      <c r="I762" s="1"/>
    </row>
    <row r="763" spans="1:9" x14ac:dyDescent="0.3">
      <c r="A763" s="19"/>
      <c r="B763" s="3"/>
      <c r="C763" s="1"/>
      <c r="D763" s="1"/>
      <c r="E763" s="1"/>
      <c r="F763" s="1"/>
      <c r="G763" s="3"/>
      <c r="H763" s="9"/>
      <c r="I763" s="1"/>
    </row>
    <row r="764" spans="1:9" x14ac:dyDescent="0.3">
      <c r="A764" s="19"/>
      <c r="B764" s="3"/>
      <c r="C764" s="1"/>
      <c r="D764" s="1"/>
      <c r="E764" s="1"/>
      <c r="F764" s="1"/>
      <c r="G764" s="3"/>
      <c r="H764" s="9"/>
      <c r="I764" s="1"/>
    </row>
    <row r="765" spans="1:9" x14ac:dyDescent="0.3">
      <c r="A765" s="19"/>
      <c r="B765" s="3"/>
      <c r="C765" s="1"/>
      <c r="D765" s="1"/>
      <c r="E765" s="1"/>
      <c r="F765" s="1"/>
      <c r="G765" s="3"/>
      <c r="H765" s="9"/>
      <c r="I765" s="1"/>
    </row>
    <row r="766" spans="1:9" x14ac:dyDescent="0.3">
      <c r="A766" s="19"/>
      <c r="B766" s="3"/>
      <c r="C766" s="1"/>
      <c r="D766" s="1"/>
      <c r="E766" s="1"/>
      <c r="F766" s="1"/>
      <c r="G766" s="3"/>
      <c r="H766" s="9"/>
      <c r="I766" s="1"/>
    </row>
    <row r="767" spans="1:9" x14ac:dyDescent="0.3">
      <c r="A767" s="19"/>
      <c r="B767" s="3"/>
      <c r="C767" s="1"/>
      <c r="D767" s="1"/>
      <c r="E767" s="1"/>
      <c r="F767" s="1"/>
      <c r="G767" s="3"/>
      <c r="H767" s="9"/>
      <c r="I767" s="1"/>
    </row>
    <row r="768" spans="1:9" x14ac:dyDescent="0.3">
      <c r="A768" s="19"/>
      <c r="B768" s="3"/>
      <c r="C768" s="1"/>
      <c r="D768" s="1"/>
      <c r="E768" s="1"/>
      <c r="F768" s="1"/>
      <c r="G768" s="3"/>
      <c r="H768" s="9"/>
      <c r="I768" s="1"/>
    </row>
    <row r="769" spans="1:9" x14ac:dyDescent="0.3">
      <c r="A769" s="19"/>
      <c r="B769" s="3"/>
      <c r="C769" s="1"/>
      <c r="D769" s="1"/>
      <c r="E769" s="1"/>
      <c r="F769" s="1"/>
      <c r="G769" s="3"/>
      <c r="H769" s="9"/>
      <c r="I769" s="1"/>
    </row>
    <row r="770" spans="1:9" x14ac:dyDescent="0.3">
      <c r="A770" s="19"/>
      <c r="B770" s="3"/>
      <c r="C770" s="1"/>
      <c r="D770" s="1"/>
      <c r="E770" s="1"/>
      <c r="F770" s="1"/>
      <c r="G770" s="3"/>
      <c r="H770" s="9"/>
      <c r="I770" s="1"/>
    </row>
    <row r="771" spans="1:9" x14ac:dyDescent="0.3">
      <c r="A771" s="19"/>
      <c r="B771" s="3"/>
      <c r="C771" s="1"/>
      <c r="D771" s="1"/>
      <c r="E771" s="1"/>
      <c r="F771" s="1"/>
      <c r="G771" s="3"/>
      <c r="H771" s="9"/>
      <c r="I771" s="1"/>
    </row>
    <row r="772" spans="1:9" x14ac:dyDescent="0.3">
      <c r="A772" s="19"/>
      <c r="B772" s="3"/>
      <c r="C772" s="3"/>
      <c r="D772" s="3"/>
      <c r="E772" s="1"/>
      <c r="F772" s="3"/>
      <c r="G772" s="3"/>
      <c r="H772" s="8"/>
      <c r="I772" s="1"/>
    </row>
    <row r="773" spans="1:9" x14ac:dyDescent="0.3">
      <c r="A773" s="19"/>
      <c r="B773" s="3"/>
      <c r="C773" s="3"/>
      <c r="D773" s="3"/>
      <c r="E773" s="3"/>
      <c r="F773" s="3"/>
      <c r="G773" s="3"/>
      <c r="H773" s="8"/>
      <c r="I773" s="1"/>
    </row>
    <row r="774" spans="1:9" x14ac:dyDescent="0.3">
      <c r="A774" s="19"/>
      <c r="B774" s="3"/>
      <c r="C774" s="3"/>
      <c r="D774" s="3"/>
      <c r="E774" s="3"/>
      <c r="F774" s="3"/>
      <c r="G774" s="3"/>
      <c r="H774" s="8"/>
      <c r="I774" s="1"/>
    </row>
    <row r="775" spans="1:9" x14ac:dyDescent="0.3">
      <c r="A775" s="19"/>
      <c r="B775" s="3"/>
      <c r="C775" s="3"/>
      <c r="D775" s="3"/>
      <c r="E775" s="3"/>
      <c r="F775" s="3"/>
      <c r="G775" s="3"/>
      <c r="H775" s="8"/>
      <c r="I775" s="1"/>
    </row>
    <row r="776" spans="1:9" x14ac:dyDescent="0.3">
      <c r="A776" s="19"/>
      <c r="B776" s="3"/>
      <c r="C776" s="3"/>
      <c r="D776" s="3"/>
      <c r="E776" s="3"/>
      <c r="F776" s="3"/>
      <c r="G776" s="3"/>
      <c r="H776" s="8"/>
      <c r="I776" s="1"/>
    </row>
    <row r="777" spans="1:9" x14ac:dyDescent="0.3">
      <c r="A777" s="19"/>
      <c r="B777" s="3"/>
      <c r="C777" s="3"/>
      <c r="D777" s="3"/>
      <c r="E777" s="3"/>
      <c r="F777" s="3"/>
      <c r="G777" s="3"/>
      <c r="H777" s="8"/>
      <c r="I777" s="1"/>
    </row>
    <row r="778" spans="1:9" x14ac:dyDescent="0.3">
      <c r="A778" s="19"/>
      <c r="B778" s="3"/>
      <c r="C778" s="3"/>
      <c r="D778" s="3"/>
      <c r="E778" s="3"/>
      <c r="F778" s="3"/>
      <c r="G778" s="3"/>
      <c r="H778" s="8"/>
      <c r="I778" s="1"/>
    </row>
    <row r="779" spans="1:9" x14ac:dyDescent="0.3">
      <c r="A779" s="19"/>
      <c r="B779" s="3"/>
      <c r="C779" s="3"/>
      <c r="D779" s="3"/>
      <c r="E779" s="3"/>
      <c r="F779" s="3"/>
      <c r="G779" s="3"/>
      <c r="H779" s="8"/>
      <c r="I779" s="1"/>
    </row>
    <row r="780" spans="1:9" x14ac:dyDescent="0.3">
      <c r="A780" s="19"/>
      <c r="B780" s="3"/>
      <c r="C780" s="3"/>
      <c r="D780" s="3"/>
      <c r="E780" s="3"/>
      <c r="F780" s="3"/>
      <c r="G780" s="3"/>
      <c r="H780" s="8"/>
      <c r="I780" s="1"/>
    </row>
    <row r="781" spans="1:9" x14ac:dyDescent="0.3">
      <c r="A781" s="19"/>
      <c r="B781" s="3"/>
      <c r="C781" s="3"/>
      <c r="D781" s="3"/>
      <c r="E781" s="3"/>
      <c r="F781" s="3"/>
      <c r="G781" s="3"/>
      <c r="H781" s="8"/>
      <c r="I781" s="1"/>
    </row>
    <row r="782" spans="1:9" x14ac:dyDescent="0.3">
      <c r="A782" s="19"/>
      <c r="B782" s="3"/>
      <c r="C782" s="3"/>
      <c r="D782" s="3"/>
      <c r="E782" s="3"/>
      <c r="F782" s="3"/>
      <c r="G782" s="3"/>
      <c r="H782" s="8"/>
      <c r="I782" s="1"/>
    </row>
    <row r="783" spans="1:9" x14ac:dyDescent="0.3">
      <c r="A783" s="19"/>
      <c r="B783" s="3"/>
      <c r="C783" s="3"/>
      <c r="D783" s="3"/>
      <c r="E783" s="3"/>
      <c r="F783" s="3"/>
      <c r="G783" s="3"/>
      <c r="H783" s="12"/>
      <c r="I783" s="1"/>
    </row>
    <row r="784" spans="1:9" x14ac:dyDescent="0.3">
      <c r="A784" s="19"/>
      <c r="B784" s="3"/>
      <c r="C784" s="3"/>
      <c r="D784" s="3"/>
      <c r="E784" s="3"/>
      <c r="F784" s="3"/>
      <c r="G784" s="3"/>
      <c r="H784" s="8"/>
      <c r="I784" s="1"/>
    </row>
    <row r="785" spans="1:9" x14ac:dyDescent="0.3">
      <c r="A785" s="19"/>
      <c r="B785" s="3"/>
      <c r="C785" s="3"/>
      <c r="D785" s="3"/>
      <c r="E785" s="3"/>
      <c r="F785" s="3"/>
      <c r="G785" s="3"/>
      <c r="H785" s="8"/>
      <c r="I785" s="1"/>
    </row>
    <row r="786" spans="1:9" x14ac:dyDescent="0.3">
      <c r="A786" s="19"/>
      <c r="B786" s="3"/>
      <c r="C786" s="3"/>
      <c r="D786" s="3"/>
      <c r="E786" s="3"/>
      <c r="F786" s="3"/>
      <c r="G786" s="3"/>
      <c r="H786" s="8"/>
      <c r="I786" s="1"/>
    </row>
    <row r="787" spans="1:9" x14ac:dyDescent="0.3">
      <c r="A787" s="19"/>
      <c r="B787" s="3"/>
      <c r="C787" s="3"/>
      <c r="D787" s="3"/>
      <c r="E787" s="3"/>
      <c r="F787" s="3"/>
      <c r="G787" s="3"/>
      <c r="H787" s="8"/>
      <c r="I787" s="1"/>
    </row>
    <row r="788" spans="1:9" x14ac:dyDescent="0.3">
      <c r="A788" s="19"/>
      <c r="B788" s="3"/>
      <c r="C788" s="3"/>
      <c r="D788" s="3"/>
      <c r="E788" s="3"/>
      <c r="F788" s="3"/>
      <c r="G788" s="3"/>
      <c r="H788" s="8"/>
      <c r="I788" s="1"/>
    </row>
    <row r="789" spans="1:9" x14ac:dyDescent="0.3">
      <c r="A789" s="19"/>
      <c r="B789" s="3"/>
      <c r="C789" s="3"/>
      <c r="D789" s="3"/>
      <c r="E789" s="3"/>
      <c r="F789" s="3"/>
      <c r="G789" s="3"/>
      <c r="H789" s="8"/>
      <c r="I789" s="1"/>
    </row>
    <row r="790" spans="1:9" x14ac:dyDescent="0.3">
      <c r="A790" s="19"/>
      <c r="B790" s="3"/>
      <c r="C790" s="3"/>
      <c r="D790" s="3"/>
      <c r="E790" s="3"/>
      <c r="F790" s="3"/>
      <c r="G790" s="3"/>
      <c r="H790" s="8"/>
      <c r="I790" s="1"/>
    </row>
    <row r="791" spans="1:9" x14ac:dyDescent="0.3">
      <c r="A791" s="19"/>
      <c r="B791" s="3"/>
      <c r="C791" s="3"/>
      <c r="D791" s="3"/>
      <c r="E791" s="3"/>
      <c r="F791" s="3"/>
      <c r="G791" s="3"/>
      <c r="H791" s="8"/>
      <c r="I791" s="1"/>
    </row>
    <row r="792" spans="1:9" x14ac:dyDescent="0.3">
      <c r="A792" s="19"/>
      <c r="B792" s="3"/>
      <c r="C792" s="3"/>
      <c r="D792" s="3"/>
      <c r="E792" s="3"/>
      <c r="F792" s="3"/>
      <c r="G792" s="3"/>
      <c r="H792" s="8"/>
      <c r="I792" s="1"/>
    </row>
    <row r="793" spans="1:9" x14ac:dyDescent="0.3">
      <c r="A793" s="19"/>
      <c r="B793" s="3"/>
      <c r="C793" s="3"/>
      <c r="D793" s="3"/>
      <c r="E793" s="3"/>
      <c r="F793" s="3"/>
      <c r="G793" s="3"/>
      <c r="H793" s="8"/>
      <c r="I793" s="1"/>
    </row>
    <row r="794" spans="1:9" x14ac:dyDescent="0.3">
      <c r="A794" s="19"/>
      <c r="B794" s="3"/>
      <c r="C794" s="3"/>
      <c r="D794" s="3"/>
      <c r="E794" s="3"/>
      <c r="F794" s="3"/>
      <c r="G794" s="3"/>
      <c r="H794" s="8"/>
      <c r="I794" s="1"/>
    </row>
    <row r="795" spans="1:9" x14ac:dyDescent="0.3">
      <c r="A795" s="19"/>
      <c r="B795" s="3"/>
      <c r="C795" s="1"/>
      <c r="D795" s="3"/>
      <c r="E795" s="3"/>
      <c r="F795" s="3"/>
      <c r="G795" s="3"/>
      <c r="H795" s="8"/>
      <c r="I795" s="1"/>
    </row>
    <row r="796" spans="1:9" x14ac:dyDescent="0.3">
      <c r="A796" s="19"/>
      <c r="B796" s="3"/>
      <c r="C796" s="3"/>
      <c r="D796" s="3"/>
      <c r="E796" s="3"/>
      <c r="F796" s="3"/>
      <c r="G796" s="3"/>
      <c r="H796" s="8"/>
      <c r="I796" s="1"/>
    </row>
    <row r="797" spans="1:9" x14ac:dyDescent="0.3">
      <c r="A797" s="19"/>
      <c r="B797" s="3"/>
      <c r="C797" s="1"/>
      <c r="D797" s="1"/>
      <c r="E797" s="1"/>
      <c r="F797" s="1"/>
      <c r="G797" s="3"/>
      <c r="H797" s="9"/>
      <c r="I797" s="1"/>
    </row>
    <row r="798" spans="1:9" x14ac:dyDescent="0.3">
      <c r="A798" s="19"/>
      <c r="B798" s="3"/>
      <c r="C798" s="3"/>
      <c r="D798" s="3"/>
      <c r="E798" s="3"/>
      <c r="F798" s="3"/>
      <c r="G798" s="3"/>
      <c r="H798" s="8"/>
      <c r="I798" s="1"/>
    </row>
    <row r="799" spans="1:9" x14ac:dyDescent="0.3">
      <c r="A799" s="19"/>
      <c r="B799" s="3"/>
      <c r="C799" s="3"/>
      <c r="D799" s="3"/>
      <c r="E799" s="3"/>
      <c r="F799" s="3"/>
      <c r="G799" s="3"/>
      <c r="H799" s="8"/>
      <c r="I799" s="1"/>
    </row>
    <row r="800" spans="1:9" x14ac:dyDescent="0.3">
      <c r="A800" s="19"/>
      <c r="B800" s="3"/>
      <c r="C800" s="3"/>
      <c r="D800" s="3"/>
      <c r="E800" s="3"/>
      <c r="F800" s="3"/>
      <c r="G800" s="3"/>
      <c r="H800" s="8"/>
      <c r="I800" s="1"/>
    </row>
    <row r="801" spans="1:9" x14ac:dyDescent="0.3">
      <c r="A801" s="19"/>
      <c r="B801" s="3"/>
      <c r="C801" s="3"/>
      <c r="D801" s="3"/>
      <c r="E801" s="3"/>
      <c r="F801" s="3"/>
      <c r="G801" s="3"/>
      <c r="H801" s="8"/>
      <c r="I801" s="1"/>
    </row>
    <row r="802" spans="1:9" x14ac:dyDescent="0.3">
      <c r="A802" s="19"/>
      <c r="B802" s="3"/>
      <c r="C802" s="3"/>
      <c r="D802" s="3"/>
      <c r="E802" s="3"/>
      <c r="F802" s="3"/>
      <c r="G802" s="3"/>
      <c r="H802" s="8"/>
      <c r="I802" s="1"/>
    </row>
    <row r="803" spans="1:9" x14ac:dyDescent="0.3">
      <c r="A803" s="19"/>
      <c r="B803" s="3"/>
      <c r="C803" s="3"/>
      <c r="D803" s="3"/>
      <c r="E803" s="3"/>
      <c r="F803" s="3"/>
      <c r="G803" s="3"/>
      <c r="H803" s="8"/>
      <c r="I803" s="1"/>
    </row>
    <row r="804" spans="1:9" x14ac:dyDescent="0.3">
      <c r="A804" s="19"/>
      <c r="B804" s="3"/>
      <c r="C804" s="3"/>
      <c r="D804" s="3"/>
      <c r="E804" s="3"/>
      <c r="F804" s="3"/>
      <c r="G804" s="3"/>
      <c r="H804" s="8"/>
      <c r="I804" s="1"/>
    </row>
    <row r="805" spans="1:9" x14ac:dyDescent="0.3">
      <c r="A805" s="19"/>
      <c r="B805" s="3"/>
      <c r="C805" s="3"/>
      <c r="D805" s="3"/>
      <c r="E805" s="3"/>
      <c r="F805" s="3"/>
      <c r="G805" s="3"/>
      <c r="H805" s="8"/>
      <c r="I805" s="1"/>
    </row>
    <row r="806" spans="1:9" x14ac:dyDescent="0.3">
      <c r="A806" s="19"/>
      <c r="B806" s="3"/>
      <c r="C806" s="3"/>
      <c r="D806" s="3"/>
      <c r="E806" s="3"/>
      <c r="F806" s="3"/>
      <c r="G806" s="3"/>
      <c r="H806" s="8"/>
      <c r="I806" s="1"/>
    </row>
    <row r="807" spans="1:9" x14ac:dyDescent="0.3">
      <c r="A807" s="19"/>
      <c r="B807" s="3"/>
      <c r="C807" s="3"/>
      <c r="D807" s="3"/>
      <c r="E807" s="3"/>
      <c r="F807" s="3"/>
      <c r="G807" s="3"/>
      <c r="H807" s="8"/>
      <c r="I807" s="1"/>
    </row>
    <row r="808" spans="1:9" x14ac:dyDescent="0.3">
      <c r="A808" s="19"/>
      <c r="B808" s="3"/>
      <c r="C808" s="3"/>
      <c r="D808" s="3"/>
      <c r="E808" s="3"/>
      <c r="F808" s="3"/>
      <c r="G808" s="3"/>
      <c r="H808" s="8"/>
      <c r="I808" s="1"/>
    </row>
    <row r="809" spans="1:9" x14ac:dyDescent="0.3">
      <c r="A809" s="19"/>
      <c r="B809" s="3"/>
      <c r="C809" s="3"/>
      <c r="D809" s="3"/>
      <c r="E809" s="3"/>
      <c r="F809" s="3"/>
      <c r="G809" s="3"/>
      <c r="H809" s="8"/>
      <c r="I809" s="1"/>
    </row>
    <row r="810" spans="1:9" x14ac:dyDescent="0.3">
      <c r="A810" s="19"/>
      <c r="B810" s="3"/>
      <c r="C810" s="3"/>
      <c r="D810" s="1"/>
      <c r="E810" s="1"/>
      <c r="F810" s="1"/>
      <c r="G810" s="3"/>
      <c r="H810" s="8"/>
      <c r="I810" s="1"/>
    </row>
    <row r="811" spans="1:9" x14ac:dyDescent="0.3">
      <c r="A811" s="19"/>
      <c r="B811" s="3"/>
      <c r="C811" s="3"/>
      <c r="D811" s="3"/>
      <c r="E811" s="3"/>
      <c r="F811" s="3"/>
      <c r="G811" s="3"/>
      <c r="H811" s="8"/>
      <c r="I811" s="1"/>
    </row>
    <row r="812" spans="1:9" x14ac:dyDescent="0.3">
      <c r="A812" s="19"/>
      <c r="B812" s="3"/>
      <c r="C812" s="3"/>
      <c r="D812" s="3"/>
      <c r="E812" s="3"/>
      <c r="F812" s="3"/>
      <c r="G812" s="3"/>
      <c r="H812" s="8"/>
      <c r="I812" s="1"/>
    </row>
    <row r="813" spans="1:9" x14ac:dyDescent="0.3">
      <c r="A813" s="19"/>
      <c r="B813" s="3"/>
      <c r="C813" s="1"/>
      <c r="D813" s="1"/>
      <c r="E813" s="1"/>
      <c r="F813" s="1"/>
      <c r="G813" s="3"/>
      <c r="H813" s="9"/>
      <c r="I813" s="1"/>
    </row>
    <row r="814" spans="1:9" x14ac:dyDescent="0.3">
      <c r="A814" s="19"/>
      <c r="B814" s="3"/>
      <c r="C814" s="3"/>
      <c r="D814" s="3"/>
      <c r="E814" s="3"/>
      <c r="F814" s="3"/>
      <c r="G814" s="3"/>
      <c r="H814" s="8"/>
      <c r="I814" s="1"/>
    </row>
    <row r="815" spans="1:9" x14ac:dyDescent="0.3">
      <c r="A815" s="19"/>
      <c r="B815" s="3"/>
      <c r="C815" s="3"/>
      <c r="D815" s="3"/>
      <c r="E815" s="3"/>
      <c r="F815" s="3"/>
      <c r="G815" s="3"/>
      <c r="H815" s="8"/>
      <c r="I815" s="1"/>
    </row>
    <row r="816" spans="1:9" x14ac:dyDescent="0.3">
      <c r="A816" s="19"/>
      <c r="B816" s="3"/>
      <c r="C816" s="3"/>
      <c r="D816" s="3"/>
      <c r="E816" s="3"/>
      <c r="F816" s="3"/>
      <c r="G816" s="3"/>
      <c r="H816" s="8"/>
      <c r="I816" s="1"/>
    </row>
    <row r="817" spans="1:9" x14ac:dyDescent="0.3">
      <c r="A817" s="19"/>
      <c r="B817" s="3"/>
      <c r="C817" s="3"/>
      <c r="D817" s="3"/>
      <c r="E817" s="3"/>
      <c r="F817" s="3"/>
      <c r="G817" s="3"/>
      <c r="H817" s="8"/>
      <c r="I817" s="1"/>
    </row>
    <row r="818" spans="1:9" x14ac:dyDescent="0.3">
      <c r="A818" s="19"/>
      <c r="B818" s="3"/>
      <c r="C818" s="3"/>
      <c r="D818" s="3"/>
      <c r="E818" s="3"/>
      <c r="F818" s="3"/>
      <c r="G818" s="3"/>
      <c r="H818" s="8"/>
      <c r="I818" s="1"/>
    </row>
    <row r="819" spans="1:9" x14ac:dyDescent="0.3">
      <c r="A819" s="19"/>
      <c r="B819" s="3"/>
      <c r="C819" s="3"/>
      <c r="D819" s="3"/>
      <c r="E819" s="3"/>
      <c r="F819" s="3"/>
      <c r="G819" s="3"/>
      <c r="H819" s="8"/>
      <c r="I819" s="1"/>
    </row>
    <row r="820" spans="1:9" x14ac:dyDescent="0.3">
      <c r="A820" s="19"/>
      <c r="B820" s="3"/>
      <c r="C820" s="3"/>
      <c r="D820" s="3"/>
      <c r="E820" s="3"/>
      <c r="F820" s="3"/>
      <c r="G820" s="3"/>
      <c r="H820" s="8"/>
      <c r="I820" s="1"/>
    </row>
    <row r="821" spans="1:9" x14ac:dyDescent="0.3">
      <c r="A821" s="19"/>
      <c r="B821" s="3"/>
      <c r="C821" s="3"/>
      <c r="D821" s="3"/>
      <c r="E821" s="3"/>
      <c r="F821" s="3"/>
      <c r="G821" s="3"/>
      <c r="H821" s="8"/>
      <c r="I821" s="1"/>
    </row>
    <row r="822" spans="1:9" x14ac:dyDescent="0.3">
      <c r="A822" s="19"/>
      <c r="B822" s="3"/>
      <c r="C822" s="3"/>
      <c r="D822" s="3"/>
      <c r="E822" s="3"/>
      <c r="F822" s="3"/>
      <c r="G822" s="3"/>
      <c r="H822" s="8"/>
      <c r="I822" s="1"/>
    </row>
    <row r="823" spans="1:9" x14ac:dyDescent="0.3">
      <c r="A823" s="19"/>
      <c r="B823" s="3"/>
      <c r="C823" s="3"/>
      <c r="D823" s="3"/>
      <c r="E823" s="3"/>
      <c r="F823" s="3"/>
      <c r="G823" s="3"/>
      <c r="H823" s="8"/>
      <c r="I823" s="1"/>
    </row>
    <row r="824" spans="1:9" x14ac:dyDescent="0.3">
      <c r="A824" s="19"/>
      <c r="B824" s="3"/>
      <c r="C824" s="3"/>
      <c r="D824" s="3"/>
      <c r="E824" s="3"/>
      <c r="F824" s="3"/>
      <c r="G824" s="3"/>
      <c r="H824" s="8"/>
      <c r="I824" s="1"/>
    </row>
    <row r="825" spans="1:9" x14ac:dyDescent="0.3">
      <c r="A825" s="19"/>
      <c r="B825" s="3"/>
      <c r="C825" s="4"/>
      <c r="D825" s="3"/>
      <c r="E825" s="3"/>
      <c r="F825" s="3"/>
      <c r="G825" s="3"/>
      <c r="H825" s="8"/>
      <c r="I825" s="1"/>
    </row>
    <row r="826" spans="1:9" x14ac:dyDescent="0.3">
      <c r="A826" s="19"/>
      <c r="B826" s="3"/>
      <c r="C826" s="3"/>
      <c r="D826" s="3"/>
      <c r="E826" s="3"/>
      <c r="F826" s="3"/>
      <c r="G826" s="3"/>
      <c r="H826" s="8"/>
      <c r="I826" s="1"/>
    </row>
    <row r="827" spans="1:9" x14ac:dyDescent="0.3">
      <c r="A827" s="19"/>
      <c r="B827" s="3"/>
      <c r="C827" s="3"/>
      <c r="D827" s="3"/>
      <c r="E827" s="3"/>
      <c r="F827" s="3"/>
      <c r="G827" s="3"/>
      <c r="H827" s="8"/>
      <c r="I827" s="1"/>
    </row>
    <row r="828" spans="1:9" x14ac:dyDescent="0.3">
      <c r="A828" s="19"/>
      <c r="B828" s="3"/>
      <c r="C828" s="3"/>
      <c r="D828" s="3"/>
      <c r="E828" s="3"/>
      <c r="F828" s="3"/>
      <c r="G828" s="3"/>
      <c r="H828" s="8"/>
      <c r="I828" s="1"/>
    </row>
    <row r="829" spans="1:9" x14ac:dyDescent="0.3">
      <c r="A829" s="19"/>
      <c r="B829" s="3"/>
      <c r="C829" s="3"/>
      <c r="D829" s="3"/>
      <c r="E829" s="3"/>
      <c r="F829" s="3"/>
      <c r="G829" s="3"/>
      <c r="H829" s="8"/>
      <c r="I829" s="1"/>
    </row>
    <row r="830" spans="1:9" x14ac:dyDescent="0.3">
      <c r="A830" s="19"/>
      <c r="B830" s="3"/>
      <c r="C830" s="3"/>
      <c r="D830" s="3"/>
      <c r="E830" s="3"/>
      <c r="F830" s="3"/>
      <c r="G830" s="3"/>
      <c r="H830" s="8"/>
      <c r="I830" s="1"/>
    </row>
    <row r="831" spans="1:9" x14ac:dyDescent="0.3">
      <c r="A831" s="19"/>
      <c r="B831" s="3"/>
      <c r="C831" s="3"/>
      <c r="D831" s="3"/>
      <c r="E831" s="3"/>
      <c r="F831" s="3"/>
      <c r="G831" s="3"/>
      <c r="H831" s="8"/>
      <c r="I831" s="1"/>
    </row>
    <row r="832" spans="1:9" x14ac:dyDescent="0.3">
      <c r="A832" s="19"/>
      <c r="B832" s="3"/>
      <c r="C832" s="3"/>
      <c r="D832" s="3"/>
      <c r="E832" s="3"/>
      <c r="F832" s="3"/>
      <c r="G832" s="3"/>
      <c r="H832" s="8"/>
      <c r="I832" s="1"/>
    </row>
    <row r="833" spans="1:9" x14ac:dyDescent="0.3">
      <c r="A833" s="19"/>
      <c r="B833" s="3"/>
      <c r="C833" s="3"/>
      <c r="D833" s="3"/>
      <c r="E833" s="3"/>
      <c r="F833" s="3"/>
      <c r="G833" s="3"/>
      <c r="H833" s="8"/>
      <c r="I833" s="1"/>
    </row>
    <row r="834" spans="1:9" x14ac:dyDescent="0.3">
      <c r="A834" s="19"/>
      <c r="B834" s="3"/>
      <c r="C834" s="3"/>
      <c r="D834" s="3"/>
      <c r="E834" s="3"/>
      <c r="F834" s="3"/>
      <c r="G834" s="3"/>
      <c r="H834" s="8"/>
      <c r="I834" s="1"/>
    </row>
    <row r="835" spans="1:9" x14ac:dyDescent="0.3">
      <c r="A835" s="19"/>
      <c r="B835" s="3"/>
      <c r="C835" s="3"/>
      <c r="D835" s="3"/>
      <c r="E835" s="3"/>
      <c r="F835" s="3"/>
      <c r="G835" s="3"/>
      <c r="H835" s="8"/>
      <c r="I835" s="1"/>
    </row>
    <row r="836" spans="1:9" x14ac:dyDescent="0.3">
      <c r="A836" s="19"/>
      <c r="B836" s="3"/>
      <c r="C836" s="3"/>
      <c r="D836" s="3"/>
      <c r="E836" s="3"/>
      <c r="F836" s="3"/>
      <c r="G836" s="3"/>
      <c r="H836" s="8"/>
      <c r="I836" s="1"/>
    </row>
    <row r="837" spans="1:9" x14ac:dyDescent="0.3">
      <c r="A837" s="19"/>
      <c r="B837" s="3"/>
      <c r="C837" s="3"/>
      <c r="D837" s="3"/>
      <c r="E837" s="3"/>
      <c r="F837" s="3"/>
      <c r="G837" s="3"/>
      <c r="H837" s="8"/>
      <c r="I837" s="1"/>
    </row>
    <row r="838" spans="1:9" x14ac:dyDescent="0.3">
      <c r="A838" s="19"/>
      <c r="B838" s="3"/>
      <c r="C838" s="3"/>
      <c r="D838" s="3"/>
      <c r="E838" s="3"/>
      <c r="F838" s="3"/>
      <c r="G838" s="3"/>
      <c r="H838" s="8"/>
      <c r="I838" s="1"/>
    </row>
    <row r="839" spans="1:9" x14ac:dyDescent="0.3">
      <c r="A839" s="19"/>
      <c r="B839" s="3"/>
      <c r="C839" s="3"/>
      <c r="D839" s="3"/>
      <c r="E839" s="3"/>
      <c r="F839" s="3"/>
      <c r="G839" s="3"/>
      <c r="H839" s="8"/>
      <c r="I839" s="1"/>
    </row>
    <row r="840" spans="1:9" x14ac:dyDescent="0.3">
      <c r="A840" s="19"/>
      <c r="B840" s="3"/>
      <c r="C840" s="3"/>
      <c r="D840" s="3"/>
      <c r="E840" s="3"/>
      <c r="F840" s="3"/>
      <c r="G840" s="3"/>
      <c r="H840" s="8"/>
      <c r="I840" s="1"/>
    </row>
    <row r="841" spans="1:9" x14ac:dyDescent="0.3">
      <c r="A841" s="19"/>
      <c r="B841" s="3"/>
      <c r="C841" s="3"/>
      <c r="D841" s="3"/>
      <c r="E841" s="3"/>
      <c r="F841" s="3"/>
      <c r="G841" s="3"/>
      <c r="H841" s="8"/>
      <c r="I841" s="1"/>
    </row>
    <row r="842" spans="1:9" x14ac:dyDescent="0.3">
      <c r="A842" s="19"/>
      <c r="B842" s="3"/>
      <c r="C842" s="3"/>
      <c r="D842" s="3"/>
      <c r="E842" s="3"/>
      <c r="F842" s="3"/>
      <c r="G842" s="3"/>
      <c r="H842" s="8"/>
      <c r="I842" s="1"/>
    </row>
    <row r="843" spans="1:9" x14ac:dyDescent="0.3">
      <c r="A843" s="19"/>
      <c r="B843" s="3"/>
      <c r="C843" s="3"/>
      <c r="D843" s="3"/>
      <c r="E843" s="3"/>
      <c r="F843" s="3"/>
      <c r="G843" s="3"/>
      <c r="H843" s="8"/>
      <c r="I843" s="1"/>
    </row>
    <row r="844" spans="1:9" x14ac:dyDescent="0.3">
      <c r="A844" s="19"/>
      <c r="B844" s="3"/>
      <c r="C844" s="3"/>
      <c r="D844" s="3"/>
      <c r="E844" s="3"/>
      <c r="F844" s="3"/>
      <c r="G844" s="3"/>
      <c r="H844" s="8"/>
      <c r="I844" s="1"/>
    </row>
    <row r="845" spans="1:9" x14ac:dyDescent="0.3">
      <c r="A845" s="19"/>
      <c r="B845" s="3"/>
      <c r="C845" s="3"/>
      <c r="D845" s="3"/>
      <c r="E845" s="3"/>
      <c r="F845" s="3"/>
      <c r="G845" s="3"/>
      <c r="H845" s="8"/>
      <c r="I845" s="1"/>
    </row>
    <row r="846" spans="1:9" x14ac:dyDescent="0.3">
      <c r="A846" s="19"/>
      <c r="B846" s="3"/>
      <c r="C846" s="3"/>
      <c r="D846" s="3"/>
      <c r="E846" s="3"/>
      <c r="F846" s="3"/>
      <c r="G846" s="3"/>
      <c r="H846" s="8"/>
      <c r="I846" s="1"/>
    </row>
    <row r="847" spans="1:9" x14ac:dyDescent="0.3">
      <c r="A847" s="19"/>
      <c r="B847" s="3"/>
      <c r="C847" s="3"/>
      <c r="D847" s="3"/>
      <c r="E847" s="3"/>
      <c r="F847" s="3"/>
      <c r="G847" s="3"/>
      <c r="H847" s="8"/>
      <c r="I847" s="1"/>
    </row>
    <row r="848" spans="1:9" x14ac:dyDescent="0.3">
      <c r="A848" s="19"/>
      <c r="B848" s="3"/>
      <c r="C848" s="3"/>
      <c r="D848" s="3"/>
      <c r="E848" s="3"/>
      <c r="F848" s="3"/>
      <c r="G848" s="3"/>
      <c r="H848" s="8"/>
      <c r="I848" s="1"/>
    </row>
    <row r="849" spans="1:9" x14ac:dyDescent="0.3">
      <c r="A849" s="19"/>
      <c r="B849" s="3"/>
      <c r="C849" s="3"/>
      <c r="D849" s="1"/>
      <c r="E849" s="1"/>
      <c r="F849" s="1"/>
      <c r="G849" s="3"/>
      <c r="H849" s="8"/>
      <c r="I849" s="1"/>
    </row>
    <row r="850" spans="1:9" x14ac:dyDescent="0.3">
      <c r="A850" s="19"/>
      <c r="B850" s="3"/>
      <c r="C850" s="3"/>
      <c r="D850" s="3"/>
      <c r="E850" s="3"/>
      <c r="F850" s="3"/>
      <c r="G850" s="3"/>
      <c r="H850" s="8"/>
      <c r="I850" s="1"/>
    </row>
    <row r="851" spans="1:9" x14ac:dyDescent="0.3">
      <c r="A851" s="19"/>
      <c r="B851" s="3"/>
      <c r="C851" s="3"/>
      <c r="D851" s="3"/>
      <c r="E851" s="3"/>
      <c r="F851" s="3"/>
      <c r="G851" s="3"/>
      <c r="H851" s="14"/>
      <c r="I851" s="1"/>
    </row>
    <row r="852" spans="1:9" x14ac:dyDescent="0.3">
      <c r="A852" s="19"/>
      <c r="B852" s="3"/>
      <c r="C852" s="3"/>
      <c r="D852" s="3"/>
      <c r="E852" s="3"/>
      <c r="F852" s="3"/>
      <c r="G852" s="3"/>
      <c r="H852" s="14"/>
      <c r="I852" s="1"/>
    </row>
    <row r="853" spans="1:9" x14ac:dyDescent="0.3">
      <c r="A853" s="19"/>
      <c r="B853" s="3"/>
      <c r="C853" s="3"/>
      <c r="D853" s="3"/>
      <c r="E853" s="3"/>
      <c r="F853" s="3"/>
      <c r="G853" s="3"/>
      <c r="H853" s="14"/>
      <c r="I853" s="1"/>
    </row>
    <row r="854" spans="1:9" x14ac:dyDescent="0.3">
      <c r="A854" s="19"/>
      <c r="B854" s="3"/>
      <c r="C854" s="3"/>
      <c r="D854" s="3"/>
      <c r="E854" s="3"/>
      <c r="F854" s="3"/>
      <c r="G854" s="3"/>
      <c r="H854" s="14"/>
      <c r="I854" s="1"/>
    </row>
    <row r="855" spans="1:9" x14ac:dyDescent="0.3">
      <c r="A855" s="19"/>
      <c r="B855" s="3"/>
      <c r="C855" s="3"/>
      <c r="D855" s="3"/>
      <c r="E855" s="3"/>
      <c r="F855" s="3"/>
      <c r="G855" s="3"/>
      <c r="H855" s="14"/>
      <c r="I855" s="1"/>
    </row>
    <row r="856" spans="1:9" x14ac:dyDescent="0.3">
      <c r="A856" s="19"/>
      <c r="B856" s="3"/>
      <c r="C856" s="3"/>
      <c r="D856" s="3"/>
      <c r="E856" s="3"/>
      <c r="F856" s="3"/>
      <c r="G856" s="3"/>
      <c r="H856" s="14"/>
      <c r="I856" s="1"/>
    </row>
    <row r="857" spans="1:9" x14ac:dyDescent="0.3">
      <c r="A857" s="19"/>
      <c r="B857" s="3"/>
      <c r="C857" s="3"/>
      <c r="D857" s="3"/>
      <c r="E857" s="3"/>
      <c r="F857" s="3"/>
      <c r="G857" s="3"/>
      <c r="H857" s="14"/>
      <c r="I857" s="1"/>
    </row>
    <row r="858" spans="1:9" x14ac:dyDescent="0.3">
      <c r="A858" s="19"/>
      <c r="B858" s="3"/>
      <c r="C858" s="3"/>
      <c r="D858" s="3"/>
      <c r="E858" s="3"/>
      <c r="F858" s="3"/>
      <c r="G858" s="3"/>
      <c r="H858" s="14"/>
      <c r="I858" s="1"/>
    </row>
    <row r="859" spans="1:9" x14ac:dyDescent="0.3">
      <c r="A859" s="19"/>
      <c r="B859" s="3"/>
      <c r="C859" s="3"/>
      <c r="D859" s="3"/>
      <c r="E859" s="3"/>
      <c r="F859" s="3"/>
      <c r="G859" s="3"/>
      <c r="H859" s="14"/>
      <c r="I859" s="1"/>
    </row>
    <row r="860" spans="1:9" x14ac:dyDescent="0.3">
      <c r="A860" s="19"/>
      <c r="B860" s="3"/>
      <c r="C860" s="3"/>
      <c r="D860" s="3"/>
      <c r="E860" s="3"/>
      <c r="F860" s="3"/>
      <c r="G860" s="3"/>
      <c r="H860" s="14"/>
      <c r="I860" s="1"/>
    </row>
    <row r="861" spans="1:9" x14ac:dyDescent="0.3">
      <c r="A861" s="19"/>
      <c r="B861" s="3"/>
      <c r="C861" s="3"/>
      <c r="D861" s="3"/>
      <c r="E861" s="3"/>
      <c r="F861" s="3"/>
      <c r="G861" s="3"/>
      <c r="H861" s="14"/>
      <c r="I861" s="1"/>
    </row>
    <row r="862" spans="1:9" x14ac:dyDescent="0.3">
      <c r="A862" s="19"/>
      <c r="B862" s="3"/>
      <c r="C862" s="3"/>
      <c r="D862" s="3"/>
      <c r="E862" s="3"/>
      <c r="F862" s="3"/>
      <c r="G862" s="3"/>
      <c r="H862" s="14"/>
      <c r="I862" s="1"/>
    </row>
    <row r="863" spans="1:9" x14ac:dyDescent="0.3">
      <c r="A863" s="19"/>
      <c r="B863" s="3"/>
      <c r="C863" s="3"/>
      <c r="D863" s="3"/>
      <c r="E863" s="3"/>
      <c r="F863" s="3"/>
      <c r="G863" s="3"/>
      <c r="H863" s="14"/>
      <c r="I863" s="1"/>
    </row>
    <row r="864" spans="1:9" x14ac:dyDescent="0.3">
      <c r="A864" s="19"/>
      <c r="B864" s="3"/>
      <c r="C864" s="3"/>
      <c r="D864" s="3"/>
      <c r="E864" s="3"/>
      <c r="F864" s="3"/>
      <c r="G864" s="3"/>
      <c r="H864" s="14"/>
      <c r="I864" s="1"/>
    </row>
    <row r="865" spans="1:9" x14ac:dyDescent="0.3">
      <c r="A865" s="19"/>
      <c r="B865" s="3"/>
      <c r="C865" s="3"/>
      <c r="D865" s="3"/>
      <c r="E865" s="3"/>
      <c r="F865" s="3"/>
      <c r="G865" s="3"/>
      <c r="H865" s="14"/>
      <c r="I865" s="1"/>
    </row>
    <row r="866" spans="1:9" x14ac:dyDescent="0.3">
      <c r="A866" s="19"/>
      <c r="B866" s="3"/>
      <c r="C866" s="3"/>
      <c r="D866" s="3"/>
      <c r="E866" s="3"/>
      <c r="F866" s="3"/>
      <c r="G866" s="3"/>
      <c r="H866" s="14"/>
      <c r="I866" s="1"/>
    </row>
    <row r="867" spans="1:9" x14ac:dyDescent="0.3">
      <c r="A867" s="19"/>
      <c r="B867" s="3"/>
      <c r="C867" s="3"/>
      <c r="D867" s="7"/>
      <c r="E867" s="3"/>
      <c r="F867" s="3"/>
      <c r="G867" s="3"/>
      <c r="H867" s="14"/>
      <c r="I867" s="1"/>
    </row>
    <row r="868" spans="1:9" x14ac:dyDescent="0.3">
      <c r="A868" s="19"/>
      <c r="B868" s="3"/>
      <c r="C868" s="3"/>
      <c r="D868" s="7"/>
      <c r="E868" s="3"/>
      <c r="F868" s="3"/>
      <c r="G868" s="3"/>
      <c r="H868" s="14"/>
      <c r="I868" s="1"/>
    </row>
    <row r="869" spans="1:9" x14ac:dyDescent="0.3">
      <c r="A869" s="19"/>
      <c r="B869" s="3"/>
      <c r="C869" s="3"/>
      <c r="D869" s="3"/>
      <c r="E869" s="3"/>
      <c r="F869" s="3"/>
      <c r="G869" s="3"/>
      <c r="H869" s="14"/>
      <c r="I869" s="1"/>
    </row>
    <row r="870" spans="1:9" x14ac:dyDescent="0.3">
      <c r="A870" s="19"/>
      <c r="B870" s="3"/>
      <c r="C870" s="3"/>
      <c r="D870" s="3"/>
      <c r="E870" s="3"/>
      <c r="F870" s="3"/>
      <c r="G870" s="3"/>
      <c r="H870" s="8"/>
      <c r="I870" s="1"/>
    </row>
    <row r="871" spans="1:9" x14ac:dyDescent="0.3">
      <c r="A871" s="19"/>
      <c r="B871" s="3"/>
      <c r="C871" s="1"/>
      <c r="D871" s="1"/>
      <c r="E871" s="1"/>
      <c r="F871" s="1"/>
      <c r="G871" s="3"/>
      <c r="H871" s="9"/>
      <c r="I871" s="1"/>
    </row>
    <row r="872" spans="1:9" x14ac:dyDescent="0.3">
      <c r="A872" s="19"/>
      <c r="B872" s="3"/>
      <c r="C872" s="3"/>
      <c r="D872" s="3"/>
      <c r="E872" s="3"/>
      <c r="F872" s="3"/>
      <c r="G872" s="3"/>
      <c r="H872" s="8"/>
      <c r="I872" s="1"/>
    </row>
    <row r="873" spans="1:9" x14ac:dyDescent="0.3">
      <c r="A873" s="19"/>
      <c r="B873" s="3"/>
      <c r="C873" s="3"/>
      <c r="D873" s="3"/>
      <c r="E873" s="3"/>
      <c r="F873" s="3"/>
      <c r="G873" s="3"/>
      <c r="H873" s="8"/>
      <c r="I873" s="1"/>
    </row>
    <row r="874" spans="1:9" x14ac:dyDescent="0.3">
      <c r="A874" s="19"/>
      <c r="B874" s="3"/>
      <c r="C874" s="3"/>
      <c r="D874" s="3"/>
      <c r="E874" s="3"/>
      <c r="F874" s="3"/>
      <c r="G874" s="3"/>
      <c r="H874" s="15"/>
      <c r="I874" s="1"/>
    </row>
    <row r="875" spans="1:9" x14ac:dyDescent="0.3">
      <c r="A875" s="19"/>
      <c r="B875" s="3"/>
      <c r="C875" s="3"/>
      <c r="D875" s="3"/>
      <c r="E875" s="3"/>
      <c r="F875" s="3"/>
      <c r="G875" s="3"/>
      <c r="H875" s="15"/>
      <c r="I875" s="1"/>
    </row>
    <row r="876" spans="1:9" x14ac:dyDescent="0.3">
      <c r="A876" s="19"/>
      <c r="B876" s="3"/>
      <c r="C876" s="3"/>
      <c r="D876" s="3"/>
      <c r="E876" s="3"/>
      <c r="F876" s="3"/>
      <c r="G876" s="3"/>
      <c r="H876" s="15"/>
      <c r="I876" s="1"/>
    </row>
    <row r="877" spans="1:9" x14ac:dyDescent="0.3">
      <c r="A877" s="19"/>
      <c r="B877" s="3"/>
      <c r="C877" s="3"/>
      <c r="D877" s="3"/>
      <c r="E877" s="3"/>
      <c r="F877" s="3"/>
      <c r="G877" s="3"/>
      <c r="H877" s="8"/>
      <c r="I877" s="1"/>
    </row>
    <row r="878" spans="1:9" x14ac:dyDescent="0.3">
      <c r="A878" s="19"/>
      <c r="B878" s="3"/>
      <c r="C878" s="3"/>
      <c r="D878" s="3"/>
      <c r="E878" s="3"/>
      <c r="F878" s="3"/>
      <c r="G878" s="3"/>
      <c r="H878" s="8"/>
      <c r="I878" s="1"/>
    </row>
    <row r="879" spans="1:9" x14ac:dyDescent="0.3">
      <c r="A879" s="19"/>
      <c r="B879" s="3"/>
      <c r="C879" s="3"/>
      <c r="D879" s="3"/>
      <c r="E879" s="3"/>
      <c r="F879" s="3"/>
      <c r="G879" s="3"/>
      <c r="H879" s="8"/>
      <c r="I879" s="1"/>
    </row>
    <row r="880" spans="1:9" x14ac:dyDescent="0.3">
      <c r="A880" s="19"/>
      <c r="B880" s="3"/>
      <c r="C880" s="3"/>
      <c r="D880" s="3"/>
      <c r="E880" s="3"/>
      <c r="F880" s="3"/>
      <c r="G880" s="3"/>
      <c r="H880" s="8"/>
      <c r="I880" s="1"/>
    </row>
    <row r="881" spans="1:9" x14ac:dyDescent="0.3">
      <c r="A881" s="19"/>
      <c r="B881" s="3"/>
      <c r="C881" s="3"/>
      <c r="D881" s="3"/>
      <c r="E881" s="3"/>
      <c r="F881" s="3"/>
      <c r="G881" s="3"/>
      <c r="H881" s="8"/>
      <c r="I881" s="1"/>
    </row>
    <row r="882" spans="1:9" x14ac:dyDescent="0.3">
      <c r="A882" s="19"/>
      <c r="B882" s="3"/>
      <c r="C882" s="3"/>
      <c r="D882" s="3"/>
      <c r="E882" s="3"/>
      <c r="F882" s="3"/>
      <c r="G882" s="3"/>
      <c r="H882" s="12"/>
      <c r="I882" s="1"/>
    </row>
    <row r="883" spans="1:9" x14ac:dyDescent="0.3">
      <c r="A883" s="19"/>
      <c r="B883" s="3"/>
      <c r="C883" s="3"/>
      <c r="D883" s="3"/>
      <c r="E883" s="3"/>
      <c r="F883" s="3"/>
      <c r="G883" s="3"/>
      <c r="H883" s="8"/>
      <c r="I883" s="1"/>
    </row>
    <row r="884" spans="1:9" x14ac:dyDescent="0.3">
      <c r="A884" s="19"/>
      <c r="B884" s="3"/>
      <c r="C884" s="3"/>
      <c r="D884" s="3"/>
      <c r="E884" s="3"/>
      <c r="F884" s="3"/>
      <c r="G884" s="3"/>
      <c r="H884" s="8"/>
      <c r="I884" s="1"/>
    </row>
    <row r="885" spans="1:9" x14ac:dyDescent="0.3">
      <c r="A885" s="19"/>
      <c r="B885" s="3"/>
      <c r="C885" s="3"/>
      <c r="D885" s="3"/>
      <c r="E885" s="3"/>
      <c r="F885" s="3"/>
      <c r="G885" s="3"/>
      <c r="H885" s="8"/>
      <c r="I885" s="1"/>
    </row>
    <row r="886" spans="1:9" x14ac:dyDescent="0.3">
      <c r="A886" s="19"/>
      <c r="B886" s="3"/>
      <c r="C886" s="3"/>
      <c r="D886" s="3"/>
      <c r="E886" s="3"/>
      <c r="F886" s="3"/>
      <c r="G886" s="3"/>
      <c r="H886" s="8"/>
      <c r="I886" s="1"/>
    </row>
    <row r="887" spans="1:9" x14ac:dyDescent="0.3">
      <c r="A887" s="19"/>
      <c r="B887" s="3"/>
      <c r="C887" s="3"/>
      <c r="D887" s="3"/>
      <c r="E887" s="3"/>
      <c r="F887" s="3"/>
      <c r="G887" s="3"/>
      <c r="H887" s="8"/>
      <c r="I887" s="1"/>
    </row>
    <row r="888" spans="1:9" x14ac:dyDescent="0.3">
      <c r="A888" s="19"/>
      <c r="B888" s="3"/>
      <c r="C888" s="3"/>
      <c r="D888" s="3"/>
      <c r="E888" s="3"/>
      <c r="F888" s="3"/>
      <c r="G888" s="3"/>
      <c r="H888" s="8"/>
      <c r="I888" s="1"/>
    </row>
    <row r="889" spans="1:9" x14ac:dyDescent="0.3">
      <c r="A889" s="19"/>
      <c r="B889" s="3"/>
      <c r="C889" s="3"/>
      <c r="D889" s="3"/>
      <c r="E889" s="3"/>
      <c r="F889" s="3"/>
      <c r="G889" s="3"/>
      <c r="H889" s="8"/>
      <c r="I889" s="1"/>
    </row>
    <row r="890" spans="1:9" x14ac:dyDescent="0.3">
      <c r="A890" s="19"/>
      <c r="B890" s="3"/>
      <c r="C890" s="3"/>
      <c r="D890" s="3"/>
      <c r="E890" s="3"/>
      <c r="F890" s="3"/>
      <c r="G890" s="3"/>
      <c r="H890" s="8"/>
      <c r="I890" s="1"/>
    </row>
    <row r="891" spans="1:9" x14ac:dyDescent="0.3">
      <c r="A891" s="19"/>
      <c r="B891" s="3"/>
      <c r="C891" s="3"/>
      <c r="D891" s="3"/>
      <c r="E891" s="3"/>
      <c r="F891" s="3"/>
      <c r="G891" s="3"/>
      <c r="H891" s="8"/>
      <c r="I891" s="1"/>
    </row>
    <row r="892" spans="1:9" x14ac:dyDescent="0.3">
      <c r="A892" s="19"/>
      <c r="B892" s="3"/>
      <c r="C892" s="3"/>
      <c r="D892" s="3"/>
      <c r="E892" s="3"/>
      <c r="F892" s="3"/>
      <c r="G892" s="3"/>
      <c r="H892" s="8"/>
      <c r="I892" s="1"/>
    </row>
    <row r="893" spans="1:9" x14ac:dyDescent="0.3">
      <c r="A893" s="19"/>
      <c r="B893" s="3"/>
      <c r="C893" s="3"/>
      <c r="D893" s="3"/>
      <c r="E893" s="3"/>
      <c r="F893" s="3"/>
      <c r="G893" s="3"/>
      <c r="H893" s="8"/>
      <c r="I893" s="1"/>
    </row>
    <row r="894" spans="1:9" x14ac:dyDescent="0.3">
      <c r="A894" s="19"/>
      <c r="B894" s="3"/>
      <c r="C894" s="3"/>
      <c r="D894" s="3"/>
      <c r="E894" s="3"/>
      <c r="F894" s="3"/>
      <c r="G894" s="3"/>
      <c r="H894" s="8"/>
      <c r="I894" s="1"/>
    </row>
    <row r="895" spans="1:9" x14ac:dyDescent="0.3">
      <c r="A895" s="19"/>
      <c r="B895" s="3"/>
      <c r="C895" s="3"/>
      <c r="D895" s="3"/>
      <c r="E895" s="3"/>
      <c r="F895" s="3"/>
      <c r="G895" s="3"/>
      <c r="H895" s="8"/>
      <c r="I895" s="1"/>
    </row>
    <row r="896" spans="1:9" x14ac:dyDescent="0.3">
      <c r="A896" s="19"/>
      <c r="B896" s="3"/>
      <c r="C896" s="3"/>
      <c r="D896" s="3"/>
      <c r="E896" s="3"/>
      <c r="F896" s="3"/>
      <c r="G896" s="3"/>
      <c r="H896" s="8"/>
      <c r="I896" s="1"/>
    </row>
    <row r="897" spans="1:9" x14ac:dyDescent="0.3">
      <c r="A897" s="19"/>
      <c r="B897" s="3"/>
      <c r="C897" s="1"/>
      <c r="D897" s="1"/>
      <c r="E897" s="1"/>
      <c r="F897" s="1"/>
      <c r="G897" s="3"/>
      <c r="H897" s="9"/>
      <c r="I897" s="1"/>
    </row>
    <row r="898" spans="1:9" x14ac:dyDescent="0.3">
      <c r="A898" s="19"/>
      <c r="B898" s="3"/>
      <c r="C898" s="1"/>
      <c r="D898" s="1"/>
      <c r="E898" s="1"/>
      <c r="F898" s="1"/>
      <c r="G898" s="3"/>
      <c r="H898" s="9"/>
      <c r="I898" s="1"/>
    </row>
    <row r="899" spans="1:9" x14ac:dyDescent="0.3">
      <c r="A899" s="19"/>
      <c r="B899" s="3"/>
      <c r="C899" s="1"/>
      <c r="D899" s="1"/>
      <c r="E899" s="1"/>
      <c r="F899" s="1"/>
      <c r="G899" s="3"/>
      <c r="H899" s="9"/>
      <c r="I899" s="1"/>
    </row>
    <row r="900" spans="1:9" x14ac:dyDescent="0.3">
      <c r="A900" s="19"/>
      <c r="B900" s="3"/>
      <c r="C900" s="1"/>
      <c r="D900" s="1"/>
      <c r="E900" s="1"/>
      <c r="F900" s="1"/>
      <c r="G900" s="3"/>
      <c r="H900" s="9"/>
      <c r="I900" s="1"/>
    </row>
    <row r="901" spans="1:9" x14ac:dyDescent="0.3">
      <c r="A901" s="19"/>
      <c r="B901" s="3"/>
      <c r="C901" s="1"/>
      <c r="D901" s="1"/>
      <c r="E901" s="1"/>
      <c r="F901" s="1"/>
      <c r="G901" s="3"/>
      <c r="H901" s="9"/>
      <c r="I901" s="1"/>
    </row>
    <row r="902" spans="1:9" x14ac:dyDescent="0.3">
      <c r="A902" s="19"/>
      <c r="B902" s="3"/>
      <c r="C902" s="1"/>
      <c r="D902" s="1"/>
      <c r="E902" s="1"/>
      <c r="F902" s="1"/>
      <c r="G902" s="3"/>
      <c r="H902" s="9"/>
      <c r="I902" s="1"/>
    </row>
    <row r="903" spans="1:9" x14ac:dyDescent="0.3">
      <c r="A903" s="19"/>
      <c r="B903" s="3"/>
      <c r="C903" s="1"/>
      <c r="D903" s="1"/>
      <c r="E903" s="1"/>
      <c r="F903" s="1"/>
      <c r="G903" s="3"/>
      <c r="H903" s="9"/>
      <c r="I903" s="1"/>
    </row>
    <row r="904" spans="1:9" x14ac:dyDescent="0.3">
      <c r="A904" s="19"/>
      <c r="B904" s="3"/>
      <c r="C904" s="1"/>
      <c r="D904" s="1"/>
      <c r="E904" s="1"/>
      <c r="F904" s="1"/>
      <c r="G904" s="3"/>
      <c r="H904" s="9"/>
      <c r="I904" s="1"/>
    </row>
    <row r="905" spans="1:9" x14ac:dyDescent="0.3">
      <c r="A905" s="19"/>
      <c r="B905" s="3"/>
      <c r="C905" s="1"/>
      <c r="D905" s="1"/>
      <c r="E905" s="1"/>
      <c r="F905" s="1"/>
      <c r="G905" s="3"/>
      <c r="H905" s="9"/>
      <c r="I905" s="1"/>
    </row>
    <row r="906" spans="1:9" x14ac:dyDescent="0.3">
      <c r="A906" s="19"/>
      <c r="B906" s="3"/>
      <c r="C906" s="1"/>
      <c r="D906" s="1"/>
      <c r="E906" s="1"/>
      <c r="F906" s="1"/>
      <c r="G906" s="3"/>
      <c r="H906" s="9"/>
      <c r="I906" s="1"/>
    </row>
    <row r="907" spans="1:9" x14ac:dyDescent="0.3">
      <c r="A907" s="19"/>
      <c r="B907" s="3"/>
      <c r="C907" s="1"/>
      <c r="D907" s="1"/>
      <c r="E907" s="1"/>
      <c r="F907" s="1"/>
      <c r="G907" s="3"/>
      <c r="H907" s="9"/>
      <c r="I907" s="1"/>
    </row>
    <row r="908" spans="1:9" x14ac:dyDescent="0.3">
      <c r="A908" s="19"/>
      <c r="B908" s="3"/>
      <c r="C908" s="1"/>
      <c r="D908" s="1"/>
      <c r="E908" s="1"/>
      <c r="F908" s="1"/>
      <c r="G908" s="3"/>
      <c r="H908" s="9"/>
      <c r="I908" s="1"/>
    </row>
    <row r="909" spans="1:9" x14ac:dyDescent="0.3">
      <c r="A909" s="19"/>
      <c r="B909" s="3"/>
      <c r="C909" s="1"/>
      <c r="D909" s="1"/>
      <c r="E909" s="1"/>
      <c r="F909" s="1"/>
      <c r="G909" s="3"/>
      <c r="H909" s="9"/>
      <c r="I909" s="1"/>
    </row>
    <row r="910" spans="1:9" x14ac:dyDescent="0.3">
      <c r="A910" s="19"/>
      <c r="B910" s="3"/>
      <c r="C910" s="1"/>
      <c r="D910" s="1"/>
      <c r="E910" s="1"/>
      <c r="F910" s="1"/>
      <c r="G910" s="3"/>
      <c r="H910" s="9"/>
      <c r="I910" s="1"/>
    </row>
    <row r="911" spans="1:9" x14ac:dyDescent="0.3">
      <c r="A911" s="19"/>
      <c r="B911" s="3"/>
      <c r="C911" s="1"/>
      <c r="D911" s="1"/>
      <c r="E911" s="1"/>
      <c r="F911" s="1"/>
      <c r="G911" s="3"/>
      <c r="H911" s="9"/>
      <c r="I911" s="1"/>
    </row>
    <row r="912" spans="1:9" x14ac:dyDescent="0.3">
      <c r="A912" s="19"/>
      <c r="B912" s="3"/>
      <c r="C912" s="1"/>
      <c r="D912" s="1"/>
      <c r="E912" s="1"/>
      <c r="F912" s="1"/>
      <c r="G912" s="3"/>
      <c r="H912" s="9"/>
      <c r="I912" s="1"/>
    </row>
    <row r="913" spans="1:9" x14ac:dyDescent="0.3">
      <c r="A913" s="19"/>
      <c r="B913" s="3"/>
      <c r="C913" s="3"/>
      <c r="D913" s="1"/>
      <c r="E913" s="1"/>
      <c r="F913" s="1"/>
      <c r="G913" s="3"/>
      <c r="H913" s="8"/>
      <c r="I913" s="1"/>
    </row>
    <row r="914" spans="1:9" x14ac:dyDescent="0.3">
      <c r="A914" s="19"/>
      <c r="B914" s="3"/>
      <c r="C914" s="3"/>
      <c r="D914" s="3"/>
      <c r="E914" s="3"/>
      <c r="F914" s="3"/>
      <c r="G914" s="3"/>
      <c r="H914" s="8"/>
      <c r="I914" s="1"/>
    </row>
    <row r="915" spans="1:9" x14ac:dyDescent="0.3">
      <c r="A915" s="19"/>
      <c r="B915" s="3"/>
      <c r="C915" s="3"/>
      <c r="D915" s="3"/>
      <c r="E915" s="3"/>
      <c r="F915" s="3"/>
      <c r="G915" s="3"/>
      <c r="H915" s="8"/>
      <c r="I915" s="1"/>
    </row>
    <row r="916" spans="1:9" x14ac:dyDescent="0.3">
      <c r="A916" s="19"/>
      <c r="B916" s="3"/>
      <c r="C916" s="3"/>
      <c r="D916" s="3"/>
      <c r="E916" s="3"/>
      <c r="F916" s="3"/>
      <c r="G916" s="3"/>
      <c r="H916" s="15"/>
      <c r="I916" s="1"/>
    </row>
    <row r="917" spans="1:9" x14ac:dyDescent="0.3">
      <c r="A917" s="19"/>
      <c r="B917" s="3"/>
      <c r="C917" s="3"/>
      <c r="D917" s="3"/>
      <c r="E917" s="3"/>
      <c r="F917" s="3"/>
      <c r="G917" s="3"/>
      <c r="H917" s="15"/>
      <c r="I917" s="1"/>
    </row>
    <row r="918" spans="1:9" x14ac:dyDescent="0.3">
      <c r="A918" s="19"/>
      <c r="B918" s="3"/>
      <c r="C918" s="3"/>
      <c r="D918" s="3"/>
      <c r="E918" s="3"/>
      <c r="F918" s="3"/>
      <c r="G918" s="3"/>
      <c r="H918" s="15"/>
      <c r="I918" s="1"/>
    </row>
    <row r="919" spans="1:9" x14ac:dyDescent="0.3">
      <c r="A919" s="19"/>
      <c r="B919" s="3"/>
      <c r="C919" s="3"/>
      <c r="D919" s="3"/>
      <c r="E919" s="3"/>
      <c r="F919" s="3"/>
      <c r="G919" s="3"/>
      <c r="H919" s="8"/>
      <c r="I919" s="1"/>
    </row>
    <row r="920" spans="1:9" x14ac:dyDescent="0.3">
      <c r="A920" s="19"/>
      <c r="B920" s="3"/>
      <c r="C920" s="3"/>
      <c r="D920" s="3"/>
      <c r="E920" s="3"/>
      <c r="F920" s="3"/>
      <c r="G920" s="3"/>
      <c r="H920" s="8"/>
      <c r="I920" s="1"/>
    </row>
    <row r="921" spans="1:9" x14ac:dyDescent="0.3">
      <c r="A921" s="19"/>
      <c r="B921" s="3"/>
      <c r="C921" s="3"/>
      <c r="D921" s="3"/>
      <c r="E921" s="3"/>
      <c r="F921" s="3"/>
      <c r="G921" s="3"/>
      <c r="H921" s="8"/>
      <c r="I921" s="1"/>
    </row>
    <row r="922" spans="1:9" x14ac:dyDescent="0.3">
      <c r="A922" s="19"/>
      <c r="B922" s="3"/>
      <c r="C922" s="3"/>
      <c r="D922" s="3"/>
      <c r="E922" s="3"/>
      <c r="F922" s="3"/>
      <c r="G922" s="3"/>
      <c r="H922" s="8"/>
      <c r="I922" s="1"/>
    </row>
    <row r="923" spans="1:9" x14ac:dyDescent="0.3">
      <c r="A923" s="19"/>
      <c r="B923" s="3"/>
      <c r="C923" s="3"/>
      <c r="D923" s="3"/>
      <c r="E923" s="3"/>
      <c r="F923" s="3"/>
      <c r="G923" s="3"/>
      <c r="H923" s="8"/>
      <c r="I923" s="1"/>
    </row>
    <row r="924" spans="1:9" x14ac:dyDescent="0.3">
      <c r="A924" s="19"/>
      <c r="B924" s="3"/>
      <c r="C924" s="3"/>
      <c r="D924" s="3"/>
      <c r="E924" s="3"/>
      <c r="F924" s="3"/>
      <c r="G924" s="3"/>
      <c r="H924" s="12"/>
      <c r="I924" s="1"/>
    </row>
    <row r="925" spans="1:9" x14ac:dyDescent="0.3">
      <c r="A925" s="19"/>
      <c r="B925" s="3"/>
      <c r="C925" s="3"/>
      <c r="D925" s="3"/>
      <c r="E925" s="3"/>
      <c r="F925" s="3"/>
      <c r="G925" s="3"/>
      <c r="H925" s="8"/>
      <c r="I925" s="1"/>
    </row>
    <row r="926" spans="1:9" x14ac:dyDescent="0.3">
      <c r="A926" s="19"/>
      <c r="B926" s="3"/>
      <c r="C926" s="3"/>
      <c r="D926" s="3"/>
      <c r="E926" s="3"/>
      <c r="F926" s="3"/>
      <c r="G926" s="3"/>
      <c r="H926" s="8"/>
      <c r="I926" s="1"/>
    </row>
    <row r="927" spans="1:9" x14ac:dyDescent="0.3">
      <c r="A927" s="19"/>
      <c r="B927" s="3"/>
      <c r="C927" s="3"/>
      <c r="D927" s="3"/>
      <c r="E927" s="3"/>
      <c r="F927" s="3"/>
      <c r="G927" s="3"/>
      <c r="H927" s="8"/>
      <c r="I927" s="1"/>
    </row>
    <row r="928" spans="1:9" x14ac:dyDescent="0.3">
      <c r="A928" s="19"/>
      <c r="B928" s="3"/>
      <c r="C928" s="3"/>
      <c r="D928" s="3"/>
      <c r="E928" s="3"/>
      <c r="F928" s="3"/>
      <c r="G928" s="3"/>
      <c r="H928" s="8"/>
      <c r="I928" s="1"/>
    </row>
    <row r="929" spans="1:9" x14ac:dyDescent="0.3">
      <c r="A929" s="19"/>
      <c r="B929" s="3"/>
      <c r="C929" s="3"/>
      <c r="D929" s="3"/>
      <c r="E929" s="3"/>
      <c r="F929" s="3"/>
      <c r="G929" s="3"/>
      <c r="H929" s="8"/>
      <c r="I929" s="1"/>
    </row>
    <row r="930" spans="1:9" x14ac:dyDescent="0.3">
      <c r="A930" s="19"/>
      <c r="B930" s="3"/>
      <c r="C930" s="3"/>
      <c r="D930" s="3"/>
      <c r="E930" s="3"/>
      <c r="F930" s="3"/>
      <c r="G930" s="3"/>
      <c r="H930" s="8"/>
      <c r="I930" s="1"/>
    </row>
    <row r="931" spans="1:9" x14ac:dyDescent="0.3">
      <c r="A931" s="19"/>
      <c r="B931" s="3"/>
      <c r="C931" s="3"/>
      <c r="D931" s="3"/>
      <c r="E931" s="3"/>
      <c r="F931" s="3"/>
      <c r="G931" s="3"/>
      <c r="H931" s="8"/>
      <c r="I931" s="1"/>
    </row>
    <row r="932" spans="1:9" x14ac:dyDescent="0.3">
      <c r="A932" s="19"/>
      <c r="B932" s="3"/>
      <c r="C932" s="3"/>
      <c r="D932" s="3"/>
      <c r="E932" s="3"/>
      <c r="F932" s="3"/>
      <c r="G932" s="3"/>
      <c r="H932" s="8"/>
      <c r="I932" s="1"/>
    </row>
    <row r="933" spans="1:9" x14ac:dyDescent="0.3">
      <c r="A933" s="19"/>
      <c r="B933" s="3"/>
      <c r="C933" s="3"/>
      <c r="D933" s="3"/>
      <c r="E933" s="3"/>
      <c r="F933" s="3"/>
      <c r="G933" s="3"/>
      <c r="H933" s="8"/>
      <c r="I933" s="1"/>
    </row>
    <row r="934" spans="1:9" x14ac:dyDescent="0.3">
      <c r="A934" s="19"/>
      <c r="B934" s="3"/>
      <c r="C934" s="3"/>
      <c r="D934" s="1"/>
      <c r="E934" s="1"/>
      <c r="F934" s="1"/>
      <c r="G934" s="3"/>
      <c r="H934" s="8"/>
      <c r="I934" s="1"/>
    </row>
    <row r="935" spans="1:9" x14ac:dyDescent="0.3">
      <c r="A935" s="19"/>
      <c r="B935" s="3"/>
      <c r="C935" s="3"/>
      <c r="D935" s="1"/>
      <c r="E935" s="1"/>
      <c r="F935" s="1"/>
      <c r="G935" s="3"/>
      <c r="H935" s="8"/>
      <c r="I935" s="1"/>
    </row>
    <row r="936" spans="1:9" x14ac:dyDescent="0.3">
      <c r="A936" s="19"/>
      <c r="B936" s="3"/>
      <c r="C936" s="3"/>
      <c r="D936" s="1"/>
      <c r="E936" s="1"/>
      <c r="F936" s="1"/>
      <c r="G936" s="3"/>
      <c r="H936" s="8"/>
      <c r="I936" s="1"/>
    </row>
    <row r="937" spans="1:9" x14ac:dyDescent="0.3">
      <c r="A937" s="19"/>
      <c r="B937" s="3"/>
      <c r="C937" s="3"/>
      <c r="D937" s="3"/>
      <c r="E937" s="3"/>
      <c r="F937" s="3"/>
      <c r="G937" s="3"/>
      <c r="H937" s="8"/>
      <c r="I937" s="1"/>
    </row>
    <row r="938" spans="1:9" x14ac:dyDescent="0.3">
      <c r="A938" s="19"/>
      <c r="B938" s="3"/>
      <c r="C938" s="3"/>
      <c r="D938" s="3"/>
      <c r="E938" s="3"/>
      <c r="F938" s="3"/>
      <c r="G938" s="3"/>
      <c r="H938" s="8"/>
      <c r="I938" s="1"/>
    </row>
    <row r="939" spans="1:9" x14ac:dyDescent="0.3">
      <c r="A939" s="19"/>
      <c r="B939" s="3"/>
      <c r="C939" s="3"/>
      <c r="D939" s="3"/>
      <c r="E939" s="3"/>
      <c r="F939" s="3"/>
      <c r="G939" s="3"/>
      <c r="H939" s="8"/>
      <c r="I939" s="1"/>
    </row>
    <row r="940" spans="1:9" x14ac:dyDescent="0.3">
      <c r="A940" s="19"/>
      <c r="B940" s="3"/>
      <c r="C940" s="3"/>
      <c r="D940" s="3"/>
      <c r="E940" s="3"/>
      <c r="F940" s="3"/>
      <c r="G940" s="3"/>
      <c r="H940" s="8"/>
      <c r="I940" s="1"/>
    </row>
    <row r="941" spans="1:9" x14ac:dyDescent="0.3">
      <c r="A941" s="19"/>
      <c r="B941" s="3"/>
      <c r="C941" s="3"/>
      <c r="D941" s="3"/>
      <c r="E941" s="3"/>
      <c r="F941" s="3"/>
      <c r="G941" s="3"/>
      <c r="H941" s="8"/>
      <c r="I941" s="1"/>
    </row>
    <row r="942" spans="1:9" x14ac:dyDescent="0.3">
      <c r="A942" s="19"/>
      <c r="B942" s="3"/>
      <c r="C942" s="3"/>
      <c r="D942" s="3"/>
      <c r="E942" s="3"/>
      <c r="F942" s="3"/>
      <c r="G942" s="3"/>
      <c r="H942" s="8"/>
      <c r="I942" s="1"/>
    </row>
    <row r="943" spans="1:9" x14ac:dyDescent="0.3">
      <c r="A943" s="19"/>
      <c r="B943" s="3"/>
      <c r="C943" s="3"/>
      <c r="D943" s="3"/>
      <c r="E943" s="3"/>
      <c r="F943" s="3"/>
      <c r="G943" s="3"/>
      <c r="H943" s="8"/>
      <c r="I943" s="1"/>
    </row>
    <row r="944" spans="1:9" x14ac:dyDescent="0.3">
      <c r="A944" s="19"/>
      <c r="B944" s="3"/>
      <c r="C944" s="3"/>
      <c r="D944" s="3"/>
      <c r="E944" s="3"/>
      <c r="F944" s="3"/>
      <c r="G944" s="3"/>
      <c r="H944" s="8"/>
      <c r="I944" s="1"/>
    </row>
    <row r="945" spans="1:9" x14ac:dyDescent="0.3">
      <c r="A945" s="19"/>
      <c r="B945" s="3"/>
      <c r="C945" s="3"/>
      <c r="D945" s="3"/>
      <c r="E945" s="3"/>
      <c r="F945" s="3"/>
      <c r="G945" s="3"/>
      <c r="H945" s="8"/>
      <c r="I945" s="1"/>
    </row>
    <row r="946" spans="1:9" x14ac:dyDescent="0.3">
      <c r="A946" s="19"/>
      <c r="B946" s="3"/>
      <c r="C946" s="3"/>
      <c r="D946" s="3"/>
      <c r="E946" s="3"/>
      <c r="F946" s="3"/>
      <c r="G946" s="3"/>
      <c r="H946" s="8"/>
      <c r="I946" s="1"/>
    </row>
    <row r="947" spans="1:9" x14ac:dyDescent="0.3">
      <c r="A947" s="19"/>
      <c r="B947" s="3"/>
      <c r="C947" s="3"/>
      <c r="D947" s="3"/>
      <c r="E947" s="3"/>
      <c r="F947" s="3"/>
      <c r="G947" s="3"/>
      <c r="H947" s="8"/>
      <c r="I947" s="1"/>
    </row>
    <row r="948" spans="1:9" x14ac:dyDescent="0.3">
      <c r="A948" s="19"/>
      <c r="B948" s="3"/>
      <c r="C948" s="3"/>
      <c r="D948" s="3"/>
      <c r="E948" s="3"/>
      <c r="F948" s="3"/>
      <c r="G948" s="3"/>
      <c r="H948" s="8"/>
      <c r="I948" s="1"/>
    </row>
    <row r="949" spans="1:9" x14ac:dyDescent="0.3">
      <c r="A949" s="19"/>
      <c r="B949" s="3"/>
      <c r="C949" s="3"/>
      <c r="D949" s="3"/>
      <c r="E949" s="3"/>
      <c r="F949" s="3"/>
      <c r="G949" s="3"/>
      <c r="H949" s="8"/>
      <c r="I949" s="1"/>
    </row>
    <row r="950" spans="1:9" x14ac:dyDescent="0.3">
      <c r="A950" s="19"/>
      <c r="B950" s="3"/>
      <c r="C950" s="3"/>
      <c r="D950" s="3"/>
      <c r="E950" s="3"/>
      <c r="F950" s="3"/>
      <c r="G950" s="3"/>
      <c r="H950" s="8"/>
      <c r="I950" s="1"/>
    </row>
    <row r="951" spans="1:9" x14ac:dyDescent="0.3">
      <c r="A951" s="19"/>
      <c r="B951" s="3"/>
      <c r="C951" s="3"/>
      <c r="D951" s="3"/>
      <c r="E951" s="3"/>
      <c r="F951" s="3"/>
      <c r="G951" s="3"/>
      <c r="H951" s="8"/>
      <c r="I951" s="1"/>
    </row>
    <row r="952" spans="1:9" x14ac:dyDescent="0.3">
      <c r="A952" s="19"/>
      <c r="B952" s="3"/>
      <c r="C952" s="3"/>
      <c r="D952" s="3"/>
      <c r="E952" s="3"/>
      <c r="F952" s="3"/>
      <c r="G952" s="3"/>
      <c r="H952" s="8"/>
      <c r="I952" s="1"/>
    </row>
    <row r="953" spans="1:9" x14ac:dyDescent="0.3">
      <c r="A953" s="19"/>
      <c r="B953" s="3"/>
      <c r="C953" s="3"/>
      <c r="D953" s="3"/>
      <c r="E953" s="3"/>
      <c r="F953" s="3"/>
      <c r="G953" s="3"/>
      <c r="H953" s="8"/>
      <c r="I953" s="1"/>
    </row>
    <row r="954" spans="1:9" x14ac:dyDescent="0.3">
      <c r="A954" s="19"/>
      <c r="B954" s="3"/>
      <c r="C954" s="3"/>
      <c r="D954" s="3"/>
      <c r="E954" s="3"/>
      <c r="F954" s="3"/>
      <c r="G954" s="3"/>
      <c r="H954" s="8"/>
      <c r="I954" s="1"/>
    </row>
    <row r="955" spans="1:9" x14ac:dyDescent="0.3">
      <c r="A955" s="19"/>
      <c r="B955" s="3"/>
      <c r="C955" s="3"/>
      <c r="D955" s="3"/>
      <c r="E955" s="3"/>
      <c r="F955" s="3"/>
      <c r="G955" s="3"/>
      <c r="H955" s="8"/>
      <c r="I955" s="1"/>
    </row>
    <row r="956" spans="1:9" x14ac:dyDescent="0.3">
      <c r="A956" s="19"/>
      <c r="B956" s="3"/>
      <c r="C956" s="3"/>
      <c r="D956" s="3"/>
      <c r="E956" s="3"/>
      <c r="F956" s="3"/>
      <c r="G956" s="3"/>
      <c r="H956" s="8"/>
      <c r="I956" s="1"/>
    </row>
    <row r="957" spans="1:9" x14ac:dyDescent="0.3">
      <c r="A957" s="19"/>
      <c r="B957" s="3"/>
      <c r="C957" s="7"/>
      <c r="D957" s="3"/>
      <c r="E957" s="3"/>
      <c r="F957" s="7"/>
      <c r="G957" s="3"/>
      <c r="H957" s="8"/>
      <c r="I957" s="1"/>
    </row>
    <row r="958" spans="1:9" x14ac:dyDescent="0.3">
      <c r="A958" s="19"/>
      <c r="B958" s="3"/>
      <c r="C958" s="3"/>
      <c r="D958" s="3"/>
      <c r="E958" s="3"/>
      <c r="F958" s="3"/>
      <c r="G958" s="3"/>
      <c r="H958" s="8"/>
      <c r="I958" s="1"/>
    </row>
    <row r="959" spans="1:9" x14ac:dyDescent="0.3">
      <c r="A959" s="19"/>
      <c r="B959" s="3"/>
      <c r="C959" s="7"/>
      <c r="D959" s="3"/>
      <c r="E959" s="3"/>
      <c r="F959" s="7"/>
      <c r="G959" s="3"/>
      <c r="H959" s="8"/>
      <c r="I959" s="1"/>
    </row>
    <row r="960" spans="1:9" x14ac:dyDescent="0.3">
      <c r="A960" s="19"/>
      <c r="B960" s="3"/>
      <c r="C960" s="3"/>
      <c r="D960" s="3"/>
      <c r="E960" s="3"/>
      <c r="F960" s="3"/>
      <c r="G960" s="3"/>
      <c r="H960" s="8"/>
      <c r="I960" s="1"/>
    </row>
    <row r="961" spans="1:9" x14ac:dyDescent="0.3">
      <c r="A961" s="19"/>
      <c r="B961" s="3"/>
      <c r="C961" s="3"/>
      <c r="D961" s="3"/>
      <c r="E961" s="3"/>
      <c r="F961" s="3"/>
      <c r="G961" s="3"/>
      <c r="H961" s="8"/>
      <c r="I961" s="1"/>
    </row>
    <row r="962" spans="1:9" x14ac:dyDescent="0.3">
      <c r="A962" s="19"/>
      <c r="B962" s="3"/>
      <c r="C962" s="3"/>
      <c r="D962" s="3"/>
      <c r="E962" s="3"/>
      <c r="F962" s="3"/>
      <c r="G962" s="3"/>
      <c r="H962" s="8"/>
      <c r="I962" s="1"/>
    </row>
    <row r="963" spans="1:9" x14ac:dyDescent="0.3">
      <c r="A963" s="19"/>
      <c r="B963" s="3"/>
      <c r="C963" s="3"/>
      <c r="D963" s="3"/>
      <c r="E963" s="3"/>
      <c r="F963" s="3"/>
      <c r="G963" s="3"/>
      <c r="H963" s="8"/>
      <c r="I963" s="1"/>
    </row>
    <row r="964" spans="1:9" x14ac:dyDescent="0.3">
      <c r="A964" s="19"/>
      <c r="B964" s="3"/>
      <c r="C964" s="3"/>
      <c r="D964" s="3"/>
      <c r="E964" s="3"/>
      <c r="F964" s="3"/>
      <c r="G964" s="3"/>
      <c r="H964" s="8"/>
      <c r="I964" s="1"/>
    </row>
    <row r="965" spans="1:9" x14ac:dyDescent="0.3">
      <c r="A965" s="19"/>
      <c r="B965" s="3"/>
      <c r="C965" s="3"/>
      <c r="D965" s="3"/>
      <c r="E965" s="3"/>
      <c r="F965" s="3"/>
      <c r="G965" s="3"/>
      <c r="H965" s="8"/>
      <c r="I965" s="1"/>
    </row>
    <row r="966" spans="1:9" x14ac:dyDescent="0.3">
      <c r="A966" s="19"/>
      <c r="B966" s="3"/>
      <c r="C966" s="3"/>
      <c r="D966" s="3"/>
      <c r="E966" s="3"/>
      <c r="F966" s="3"/>
      <c r="G966" s="3"/>
      <c r="H966" s="8"/>
      <c r="I966" s="1"/>
    </row>
    <row r="967" spans="1:9" x14ac:dyDescent="0.3">
      <c r="A967" s="19"/>
      <c r="B967" s="3"/>
      <c r="C967" s="3"/>
      <c r="D967" s="3"/>
      <c r="E967" s="3"/>
      <c r="F967" s="3"/>
      <c r="G967" s="3"/>
      <c r="H967" s="8"/>
      <c r="I967" s="1"/>
    </row>
    <row r="968" spans="1:9" x14ac:dyDescent="0.3">
      <c r="A968" s="19"/>
      <c r="B968" s="3"/>
      <c r="C968" s="3"/>
      <c r="D968" s="3"/>
      <c r="E968" s="3"/>
      <c r="F968" s="3"/>
      <c r="G968" s="3"/>
      <c r="H968" s="8"/>
      <c r="I968" s="1"/>
    </row>
    <row r="969" spans="1:9" x14ac:dyDescent="0.3">
      <c r="A969" s="19"/>
      <c r="B969" s="3"/>
      <c r="C969" s="3"/>
      <c r="D969" s="3"/>
      <c r="E969" s="3"/>
      <c r="F969" s="3"/>
      <c r="G969" s="3"/>
      <c r="H969" s="8"/>
      <c r="I969" s="1"/>
    </row>
    <row r="970" spans="1:9" x14ac:dyDescent="0.3">
      <c r="A970" s="19"/>
      <c r="B970" s="3"/>
      <c r="C970" s="3"/>
      <c r="D970" s="3"/>
      <c r="E970" s="3"/>
      <c r="F970" s="3"/>
      <c r="G970" s="3"/>
      <c r="H970" s="8"/>
      <c r="I970" s="1"/>
    </row>
    <row r="971" spans="1:9" x14ac:dyDescent="0.3">
      <c r="A971" s="19"/>
      <c r="B971" s="3"/>
      <c r="C971" s="3"/>
      <c r="D971" s="3"/>
      <c r="E971" s="3"/>
      <c r="F971" s="3"/>
      <c r="G971" s="3"/>
      <c r="H971" s="8"/>
      <c r="I971" s="1"/>
    </row>
    <row r="972" spans="1:9" x14ac:dyDescent="0.3">
      <c r="A972" s="19"/>
      <c r="B972" s="3"/>
      <c r="C972" s="3"/>
      <c r="D972" s="3"/>
      <c r="E972" s="3"/>
      <c r="F972" s="3"/>
      <c r="G972" s="3"/>
      <c r="H972" s="8"/>
      <c r="I972" s="1"/>
    </row>
    <row r="973" spans="1:9" x14ac:dyDescent="0.3">
      <c r="A973" s="19"/>
      <c r="B973" s="3"/>
      <c r="C973" s="3"/>
      <c r="D973" s="3"/>
      <c r="E973" s="3"/>
      <c r="F973" s="3"/>
      <c r="G973" s="3"/>
      <c r="H973" s="8"/>
      <c r="I973" s="1"/>
    </row>
    <row r="974" spans="1:9" x14ac:dyDescent="0.3">
      <c r="A974" s="19"/>
      <c r="B974" s="3"/>
      <c r="C974" s="3"/>
      <c r="D974" s="3"/>
      <c r="E974" s="3"/>
      <c r="F974" s="3"/>
      <c r="G974" s="3"/>
      <c r="H974" s="8"/>
      <c r="I974" s="1"/>
    </row>
    <row r="975" spans="1:9" x14ac:dyDescent="0.3">
      <c r="A975" s="19"/>
      <c r="B975" s="3"/>
      <c r="C975" s="3"/>
      <c r="D975" s="3"/>
      <c r="E975" s="3"/>
      <c r="F975" s="3"/>
      <c r="G975" s="3"/>
      <c r="H975" s="8"/>
      <c r="I975" s="1"/>
    </row>
    <row r="976" spans="1:9" x14ac:dyDescent="0.3">
      <c r="A976" s="19"/>
      <c r="B976" s="3"/>
      <c r="C976" s="3"/>
      <c r="D976" s="3"/>
      <c r="E976" s="3"/>
      <c r="F976" s="3"/>
      <c r="G976" s="3"/>
      <c r="H976" s="8"/>
      <c r="I976" s="1"/>
    </row>
    <row r="977" spans="1:9" x14ac:dyDescent="0.3">
      <c r="A977" s="19"/>
      <c r="B977" s="3"/>
      <c r="C977" s="3"/>
      <c r="D977" s="3"/>
      <c r="E977" s="3"/>
      <c r="F977" s="3"/>
      <c r="G977" s="3"/>
      <c r="H977" s="8"/>
      <c r="I977" s="1"/>
    </row>
    <row r="978" spans="1:9" x14ac:dyDescent="0.3">
      <c r="A978" s="19"/>
      <c r="B978" s="3"/>
      <c r="C978" s="3"/>
      <c r="D978" s="3"/>
      <c r="E978" s="3"/>
      <c r="F978" s="3"/>
      <c r="G978" s="3"/>
      <c r="H978" s="8"/>
      <c r="I978" s="1"/>
    </row>
    <row r="979" spans="1:9" x14ac:dyDescent="0.3">
      <c r="A979" s="19"/>
      <c r="B979" s="3"/>
      <c r="C979" s="3"/>
      <c r="D979" s="3"/>
      <c r="E979" s="3"/>
      <c r="F979" s="3"/>
      <c r="G979" s="3"/>
      <c r="H979" s="8"/>
      <c r="I979" s="1"/>
    </row>
    <row r="980" spans="1:9" x14ac:dyDescent="0.3">
      <c r="A980" s="19"/>
      <c r="B980" s="3"/>
      <c r="C980" s="3"/>
      <c r="D980" s="3"/>
      <c r="E980" s="3"/>
      <c r="F980" s="3"/>
      <c r="G980" s="3"/>
      <c r="H980" s="8"/>
      <c r="I980" s="1"/>
    </row>
    <row r="981" spans="1:9" x14ac:dyDescent="0.3">
      <c r="A981" s="19"/>
      <c r="B981" s="3"/>
      <c r="C981" s="3"/>
      <c r="D981" s="3"/>
      <c r="E981" s="3"/>
      <c r="F981" s="3"/>
      <c r="G981" s="3"/>
      <c r="H981" s="8"/>
      <c r="I981" s="1"/>
    </row>
    <row r="982" spans="1:9" x14ac:dyDescent="0.3">
      <c r="A982" s="19"/>
      <c r="B982" s="3"/>
      <c r="C982" s="3"/>
      <c r="D982" s="3"/>
      <c r="E982" s="3"/>
      <c r="F982" s="3"/>
      <c r="G982" s="3"/>
      <c r="H982" s="8"/>
      <c r="I982" s="1"/>
    </row>
    <row r="983" spans="1:9" x14ac:dyDescent="0.3">
      <c r="A983" s="19"/>
      <c r="B983" s="3"/>
      <c r="C983" s="3"/>
      <c r="D983" s="3"/>
      <c r="E983" s="3"/>
      <c r="F983" s="3"/>
      <c r="G983" s="3"/>
      <c r="H983" s="8"/>
      <c r="I983" s="1"/>
    </row>
    <row r="984" spans="1:9" x14ac:dyDescent="0.3">
      <c r="A984" s="19"/>
      <c r="B984" s="3"/>
      <c r="C984" s="3"/>
      <c r="D984" s="3"/>
      <c r="E984" s="3"/>
      <c r="F984" s="3"/>
      <c r="G984" s="3"/>
      <c r="H984" s="8"/>
      <c r="I984" s="1"/>
    </row>
    <row r="985" spans="1:9" x14ac:dyDescent="0.3">
      <c r="A985" s="19"/>
      <c r="B985" s="3"/>
      <c r="C985" s="3"/>
      <c r="D985" s="3"/>
      <c r="E985" s="3"/>
      <c r="F985" s="3"/>
      <c r="G985" s="3"/>
      <c r="H985" s="8"/>
      <c r="I985" s="1"/>
    </row>
    <row r="986" spans="1:9" x14ac:dyDescent="0.3">
      <c r="A986" s="19"/>
      <c r="B986" s="3"/>
      <c r="C986" s="3"/>
      <c r="D986" s="3"/>
      <c r="E986" s="3"/>
      <c r="F986" s="3"/>
      <c r="G986" s="3"/>
      <c r="H986" s="8"/>
      <c r="I986" s="1"/>
    </row>
    <row r="987" spans="1:9" x14ac:dyDescent="0.3">
      <c r="A987" s="19"/>
      <c r="B987" s="3"/>
      <c r="C987" s="3"/>
      <c r="D987" s="3"/>
      <c r="E987" s="3"/>
      <c r="F987" s="3"/>
      <c r="G987" s="3"/>
      <c r="H987" s="8"/>
      <c r="I987" s="1"/>
    </row>
    <row r="988" spans="1:9" x14ac:dyDescent="0.3">
      <c r="A988" s="19"/>
      <c r="B988" s="3"/>
      <c r="C988" s="3"/>
      <c r="D988" s="3"/>
      <c r="E988" s="3"/>
      <c r="F988" s="3"/>
      <c r="G988" s="3"/>
      <c r="H988" s="8"/>
      <c r="I988" s="1"/>
    </row>
    <row r="989" spans="1:9" x14ac:dyDescent="0.3">
      <c r="A989" s="19"/>
      <c r="B989" s="3"/>
      <c r="C989" s="3"/>
      <c r="D989" s="3"/>
      <c r="E989" s="3"/>
      <c r="F989" s="3"/>
      <c r="G989" s="3"/>
      <c r="H989" s="8"/>
      <c r="I989" s="1"/>
    </row>
    <row r="990" spans="1:9" x14ac:dyDescent="0.3">
      <c r="A990" s="19"/>
      <c r="B990" s="3"/>
      <c r="C990" s="3"/>
      <c r="D990" s="3"/>
      <c r="E990" s="3"/>
      <c r="F990" s="3"/>
      <c r="G990" s="3"/>
      <c r="H990" s="8"/>
      <c r="I990" s="1"/>
    </row>
    <row r="991" spans="1:9" x14ac:dyDescent="0.3">
      <c r="A991" s="19"/>
      <c r="B991" s="3"/>
      <c r="C991" s="3"/>
      <c r="D991" s="3"/>
      <c r="E991" s="3"/>
      <c r="F991" s="3"/>
      <c r="G991" s="3"/>
      <c r="H991" s="8"/>
      <c r="I991" s="1"/>
    </row>
    <row r="992" spans="1:9" x14ac:dyDescent="0.3">
      <c r="A992" s="19"/>
      <c r="B992" s="3"/>
      <c r="C992" s="3"/>
      <c r="D992" s="3"/>
      <c r="E992" s="3"/>
      <c r="F992" s="3"/>
      <c r="G992" s="3"/>
      <c r="H992" s="8"/>
      <c r="I992" s="1"/>
    </row>
    <row r="993" spans="1:9" x14ac:dyDescent="0.3">
      <c r="A993" s="19"/>
      <c r="B993" s="3"/>
      <c r="C993" s="4"/>
      <c r="D993" s="3"/>
      <c r="E993" s="3"/>
      <c r="F993" s="3"/>
      <c r="G993" s="3"/>
      <c r="H993" s="8"/>
      <c r="I993" s="1"/>
    </row>
    <row r="994" spans="1:9" x14ac:dyDescent="0.3">
      <c r="A994" s="19"/>
      <c r="B994" s="3"/>
      <c r="C994" s="3"/>
      <c r="D994" s="3"/>
      <c r="E994" s="3"/>
      <c r="F994" s="3"/>
      <c r="G994" s="3"/>
      <c r="H994" s="8"/>
      <c r="I994" s="1"/>
    </row>
    <row r="995" spans="1:9" x14ac:dyDescent="0.3">
      <c r="A995" s="19"/>
      <c r="B995" s="3"/>
      <c r="C995" s="3"/>
      <c r="D995" s="3"/>
      <c r="E995" s="3"/>
      <c r="F995" s="3"/>
      <c r="G995" s="3"/>
      <c r="H995" s="8"/>
      <c r="I995" s="1"/>
    </row>
    <row r="996" spans="1:9" x14ac:dyDescent="0.3">
      <c r="A996" s="19"/>
      <c r="B996" s="3"/>
      <c r="C996" s="3"/>
      <c r="D996" s="3"/>
      <c r="E996" s="3"/>
      <c r="F996" s="3"/>
      <c r="G996" s="3"/>
      <c r="H996" s="8"/>
      <c r="I996" s="1"/>
    </row>
    <row r="997" spans="1:9" x14ac:dyDescent="0.3">
      <c r="A997" s="19"/>
      <c r="B997" s="3"/>
      <c r="C997" s="3"/>
      <c r="D997" s="3"/>
      <c r="E997" s="3"/>
      <c r="F997" s="3"/>
      <c r="G997" s="3"/>
      <c r="H997" s="8"/>
      <c r="I997" s="1"/>
    </row>
    <row r="998" spans="1:9" x14ac:dyDescent="0.3">
      <c r="A998" s="19"/>
      <c r="B998" s="3"/>
      <c r="C998" s="3"/>
      <c r="D998" s="3"/>
      <c r="E998" s="3"/>
      <c r="F998" s="3"/>
      <c r="G998" s="3"/>
      <c r="H998" s="8"/>
      <c r="I998" s="1"/>
    </row>
    <row r="999" spans="1:9" x14ac:dyDescent="0.3">
      <c r="A999" s="19"/>
      <c r="B999" s="3"/>
      <c r="C999" s="3"/>
      <c r="D999" s="3"/>
      <c r="E999" s="3"/>
      <c r="F999" s="3"/>
      <c r="G999" s="3"/>
      <c r="H999" s="8"/>
      <c r="I999" s="1"/>
    </row>
    <row r="1000" spans="1:9" x14ac:dyDescent="0.3">
      <c r="A1000" s="19"/>
      <c r="B1000" s="3"/>
      <c r="C1000" s="3"/>
      <c r="D1000" s="3"/>
      <c r="E1000" s="3"/>
      <c r="F1000" s="3"/>
      <c r="G1000" s="3"/>
      <c r="H1000" s="8"/>
      <c r="I1000" s="1"/>
    </row>
    <row r="1001" spans="1:9" x14ac:dyDescent="0.3">
      <c r="A1001" s="19"/>
      <c r="B1001" s="3"/>
      <c r="C1001" s="3"/>
      <c r="D1001" s="3"/>
      <c r="E1001" s="3"/>
      <c r="F1001" s="3"/>
      <c r="G1001" s="3"/>
      <c r="H1001" s="8"/>
      <c r="I1001" s="1"/>
    </row>
    <row r="1002" spans="1:9" x14ac:dyDescent="0.3">
      <c r="A1002" s="19"/>
      <c r="B1002" s="3"/>
      <c r="C1002" s="3"/>
      <c r="D1002" s="3"/>
      <c r="E1002" s="3"/>
      <c r="F1002" s="3"/>
      <c r="G1002" s="3"/>
      <c r="H1002" s="8"/>
      <c r="I1002" s="1"/>
    </row>
    <row r="1003" spans="1:9" x14ac:dyDescent="0.3">
      <c r="A1003" s="19"/>
      <c r="B1003" s="3"/>
      <c r="C1003" s="3"/>
      <c r="D1003" s="3"/>
      <c r="E1003" s="3"/>
      <c r="F1003" s="3"/>
      <c r="G1003" s="3"/>
      <c r="H1003" s="8"/>
      <c r="I1003" s="1"/>
    </row>
    <row r="1004" spans="1:9" x14ac:dyDescent="0.3">
      <c r="A1004" s="19"/>
      <c r="B1004" s="3"/>
      <c r="C1004" s="3"/>
      <c r="D1004" s="3"/>
      <c r="E1004" s="3"/>
      <c r="F1004" s="3"/>
      <c r="G1004" s="3"/>
      <c r="H1004" s="8"/>
      <c r="I1004" s="1"/>
    </row>
    <row r="1005" spans="1:9" x14ac:dyDescent="0.3">
      <c r="A1005" s="19"/>
      <c r="B1005" s="3"/>
      <c r="C1005" s="3"/>
      <c r="D1005" s="3"/>
      <c r="E1005" s="3"/>
      <c r="F1005" s="3"/>
      <c r="G1005" s="3"/>
      <c r="H1005" s="8"/>
      <c r="I1005" s="1"/>
    </row>
    <row r="1006" spans="1:9" x14ac:dyDescent="0.3">
      <c r="A1006" s="19"/>
      <c r="B1006" s="3"/>
      <c r="C1006" s="3"/>
      <c r="D1006" s="3"/>
      <c r="E1006" s="3"/>
      <c r="F1006" s="1"/>
      <c r="G1006" s="3"/>
      <c r="H1006" s="8"/>
      <c r="I1006" s="1"/>
    </row>
    <row r="1007" spans="1:9" x14ac:dyDescent="0.3">
      <c r="A1007" s="19"/>
      <c r="B1007" s="3"/>
      <c r="C1007" s="3"/>
      <c r="D1007" s="3"/>
      <c r="E1007" s="3"/>
      <c r="F1007" s="3"/>
      <c r="G1007" s="3"/>
      <c r="H1007" s="8"/>
      <c r="I1007" s="1"/>
    </row>
    <row r="1008" spans="1:9" x14ac:dyDescent="0.3">
      <c r="A1008" s="19"/>
      <c r="B1008" s="3"/>
      <c r="C1008" s="3"/>
      <c r="D1008" s="3"/>
      <c r="E1008" s="3"/>
      <c r="F1008" s="3"/>
      <c r="G1008" s="3"/>
      <c r="H1008" s="8"/>
      <c r="I1008" s="1"/>
    </row>
    <row r="1009" spans="1:9" x14ac:dyDescent="0.3">
      <c r="A1009" s="19"/>
      <c r="B1009" s="3"/>
      <c r="C1009" s="3"/>
      <c r="D1009" s="3"/>
      <c r="E1009" s="3"/>
      <c r="F1009" s="3"/>
      <c r="G1009" s="3"/>
      <c r="H1009" s="8"/>
      <c r="I1009" s="1"/>
    </row>
    <row r="1010" spans="1:9" x14ac:dyDescent="0.3">
      <c r="A1010" s="19"/>
      <c r="B1010" s="3"/>
      <c r="C1010" s="1"/>
      <c r="D1010" s="1"/>
      <c r="E1010" s="1"/>
      <c r="F1010" s="1"/>
      <c r="G1010" s="3"/>
      <c r="H1010" s="9"/>
      <c r="I1010" s="1"/>
    </row>
    <row r="1011" spans="1:9" x14ac:dyDescent="0.3">
      <c r="A1011" s="19"/>
      <c r="B1011" s="3"/>
      <c r="C1011" s="1"/>
      <c r="D1011" s="1"/>
      <c r="E1011" s="1"/>
      <c r="F1011" s="1"/>
      <c r="G1011" s="3"/>
      <c r="H1011" s="9"/>
      <c r="I1011" s="1"/>
    </row>
    <row r="1012" spans="1:9" x14ac:dyDescent="0.3">
      <c r="A1012" s="19"/>
      <c r="B1012" s="3"/>
      <c r="C1012" s="1"/>
      <c r="D1012" s="1"/>
      <c r="E1012" s="1"/>
      <c r="F1012" s="1"/>
      <c r="G1012" s="3"/>
      <c r="H1012" s="9"/>
      <c r="I1012" s="1"/>
    </row>
    <row r="1013" spans="1:9" x14ac:dyDescent="0.3">
      <c r="A1013" s="19"/>
      <c r="B1013" s="3"/>
      <c r="C1013" s="1"/>
      <c r="D1013" s="1"/>
      <c r="E1013" s="1"/>
      <c r="F1013" s="1"/>
      <c r="G1013" s="3"/>
      <c r="H1013" s="9"/>
      <c r="I1013" s="1"/>
    </row>
    <row r="1014" spans="1:9" x14ac:dyDescent="0.3">
      <c r="A1014" s="19"/>
      <c r="B1014" s="3"/>
      <c r="C1014" s="1"/>
      <c r="D1014" s="1"/>
      <c r="E1014" s="1"/>
      <c r="F1014" s="1"/>
      <c r="G1014" s="3"/>
      <c r="H1014" s="9"/>
      <c r="I1014" s="1"/>
    </row>
    <row r="1015" spans="1:9" x14ac:dyDescent="0.3">
      <c r="A1015" s="19"/>
      <c r="B1015" s="3"/>
      <c r="C1015" s="1"/>
      <c r="D1015" s="1"/>
      <c r="E1015" s="1"/>
      <c r="F1015" s="1"/>
      <c r="G1015" s="3"/>
      <c r="H1015" s="9"/>
      <c r="I1015" s="1"/>
    </row>
    <row r="1016" spans="1:9" x14ac:dyDescent="0.3">
      <c r="A1016" s="19"/>
      <c r="B1016" s="3"/>
      <c r="C1016" s="1"/>
      <c r="D1016" s="1"/>
      <c r="E1016" s="1"/>
      <c r="F1016" s="1"/>
      <c r="G1016" s="3"/>
      <c r="H1016" s="9"/>
      <c r="I1016" s="1"/>
    </row>
    <row r="1017" spans="1:9" x14ac:dyDescent="0.3">
      <c r="A1017" s="19"/>
      <c r="B1017" s="3"/>
      <c r="C1017" s="1"/>
      <c r="D1017" s="1"/>
      <c r="E1017" s="1"/>
      <c r="F1017" s="1"/>
      <c r="G1017" s="3"/>
      <c r="H1017" s="9"/>
      <c r="I1017" s="1"/>
    </row>
    <row r="1018" spans="1:9" x14ac:dyDescent="0.3">
      <c r="A1018" s="19"/>
      <c r="B1018" s="3"/>
      <c r="C1018" s="1"/>
      <c r="D1018" s="1"/>
      <c r="E1018" s="1"/>
      <c r="F1018" s="1"/>
      <c r="G1018" s="3"/>
      <c r="H1018" s="9"/>
      <c r="I1018" s="1"/>
    </row>
    <row r="1019" spans="1:9" x14ac:dyDescent="0.3">
      <c r="A1019" s="19"/>
      <c r="B1019" s="3"/>
      <c r="C1019" s="1"/>
      <c r="D1019" s="1"/>
      <c r="E1019" s="1"/>
      <c r="F1019" s="1"/>
      <c r="G1019" s="3"/>
      <c r="H1019" s="9"/>
      <c r="I1019" s="1"/>
    </row>
    <row r="1020" spans="1:9" x14ac:dyDescent="0.3">
      <c r="A1020" s="19"/>
      <c r="B1020" s="3"/>
      <c r="C1020" s="1"/>
      <c r="D1020" s="1"/>
      <c r="E1020" s="1"/>
      <c r="F1020" s="1"/>
      <c r="G1020" s="3"/>
      <c r="H1020" s="9"/>
      <c r="I1020" s="1"/>
    </row>
    <row r="1021" spans="1:9" x14ac:dyDescent="0.3">
      <c r="A1021" s="19"/>
      <c r="B1021" s="3"/>
      <c r="C1021" s="1"/>
      <c r="D1021" s="1"/>
      <c r="E1021" s="1"/>
      <c r="F1021" s="1"/>
      <c r="G1021" s="3"/>
      <c r="H1021" s="9"/>
      <c r="I1021" s="1"/>
    </row>
    <row r="1022" spans="1:9" x14ac:dyDescent="0.3">
      <c r="A1022" s="19"/>
      <c r="B1022" s="3"/>
      <c r="C1022" s="1"/>
      <c r="D1022" s="1"/>
      <c r="E1022" s="1"/>
      <c r="F1022" s="1"/>
      <c r="G1022" s="3"/>
      <c r="H1022" s="9"/>
      <c r="I1022" s="1"/>
    </row>
    <row r="1023" spans="1:9" x14ac:dyDescent="0.3">
      <c r="A1023" s="19"/>
      <c r="B1023" s="3"/>
      <c r="C1023" s="1"/>
      <c r="D1023" s="1"/>
      <c r="E1023" s="1"/>
      <c r="F1023" s="1"/>
      <c r="G1023" s="3"/>
      <c r="H1023" s="9"/>
      <c r="I1023" s="1"/>
    </row>
    <row r="1024" spans="1:9" x14ac:dyDescent="0.3">
      <c r="A1024" s="19"/>
      <c r="B1024" s="3"/>
      <c r="C1024" s="1"/>
      <c r="D1024" s="1"/>
      <c r="E1024" s="1"/>
      <c r="F1024" s="1"/>
      <c r="G1024" s="3"/>
      <c r="H1024" s="9"/>
      <c r="I1024" s="1"/>
    </row>
    <row r="1025" spans="1:9" x14ac:dyDescent="0.3">
      <c r="A1025" s="19"/>
      <c r="B1025" s="3"/>
      <c r="C1025" s="1"/>
      <c r="D1025" s="1"/>
      <c r="E1025" s="1"/>
      <c r="F1025" s="1"/>
      <c r="G1025" s="3"/>
      <c r="H1025" s="9"/>
      <c r="I1025" s="1"/>
    </row>
    <row r="1026" spans="1:9" x14ac:dyDescent="0.3">
      <c r="A1026" s="19"/>
      <c r="B1026" s="3"/>
      <c r="C1026" s="3"/>
      <c r="D1026" s="1"/>
      <c r="E1026" s="1"/>
      <c r="F1026" s="1"/>
      <c r="G1026" s="3"/>
      <c r="H1026" s="8"/>
      <c r="I1026" s="1"/>
    </row>
    <row r="1027" spans="1:9" x14ac:dyDescent="0.3">
      <c r="A1027" s="19"/>
      <c r="B1027" s="3"/>
      <c r="C1027" s="3"/>
      <c r="D1027" s="3"/>
      <c r="E1027" s="3"/>
      <c r="F1027" s="3"/>
      <c r="G1027" s="3"/>
      <c r="H1027" s="8"/>
      <c r="I1027" s="1"/>
    </row>
  </sheetData>
  <dataValidations disablePrompts="1" count="2">
    <dataValidation type="list" allowBlank="1" showInputMessage="1" showErrorMessage="1" sqref="F222:F250 G914:G933 G798:G811 G849 G872:G894 G773:G792 G994:G1005" xr:uid="{00000000-0002-0000-0000-000001000000}">
      <formula1>$L$1:$L$1</formula1>
    </dataValidation>
    <dataValidation type="list" allowBlank="1" showInputMessage="1" showErrorMessage="1" sqref="F415:F433 F356:F382 F501:F519 F484:F485 F469:F481 F647:F665 F773:F792 F872:F891 F811 F798:F809 F914:F933 F994:F1005 F1007" xr:uid="{00000000-0002-0000-0000-000000000000}">
      <formula1>#REF!</formula1>
    </dataValidation>
  </dataValidations>
  <pageMargins left="0.7" right="0.7" top="0.75" bottom="0.75" header="0.3" footer="0.3"/>
  <pageSetup paperSize="9" orientation="portrait" r:id="rId1"/>
  <headerFooter>
    <oddFooter>&amp;L&amp;1#&amp;"Calibri"&amp;7&amp;K000000C2 General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C1873-8062-477C-A1D2-FB34BAFE23B7}">
  <sheetPr codeName="Sheet7"/>
  <dimension ref="A1:AB1022"/>
  <sheetViews>
    <sheetView zoomScale="85" zoomScaleNormal="85" workbookViewId="0">
      <selection activeCell="A2" sqref="A2:O3"/>
    </sheetView>
  </sheetViews>
  <sheetFormatPr defaultColWidth="8.88671875" defaultRowHeight="14.4" x14ac:dyDescent="0.3"/>
  <cols>
    <col min="1" max="1" width="10.44140625" bestFit="1" customWidth="1"/>
    <col min="2" max="4" width="17.6640625" customWidth="1"/>
    <col min="5" max="5" width="39.88671875" customWidth="1"/>
    <col min="6" max="9" width="17.6640625" customWidth="1"/>
    <col min="10" max="10" width="11.109375" bestFit="1" customWidth="1"/>
    <col min="11" max="11" width="17.6640625" customWidth="1"/>
    <col min="12" max="13" width="17.6640625" style="103" customWidth="1"/>
    <col min="14" max="14" width="21.5546875" style="103" bestFit="1" customWidth="1"/>
    <col min="15" max="15" width="37.6640625" style="89" customWidth="1"/>
    <col min="16" max="19" width="16.33203125" style="89" customWidth="1"/>
    <col min="20" max="21" width="16.33203125" style="89" bestFit="1" customWidth="1"/>
    <col min="22" max="22" width="16.33203125" style="89" customWidth="1"/>
    <col min="23" max="27" width="16.33203125" style="89" bestFit="1" customWidth="1"/>
    <col min="28" max="28" width="16.33203125" style="89" customWidth="1"/>
    <col min="29" max="29" width="8.88671875" style="89" customWidth="1"/>
    <col min="30" max="16384" width="8.88671875" style="89"/>
  </cols>
  <sheetData>
    <row r="1" spans="1:28" ht="18" customHeight="1" x14ac:dyDescent="0.3">
      <c r="A1" s="23" t="s">
        <v>46</v>
      </c>
      <c r="B1" s="85" t="s">
        <v>0</v>
      </c>
      <c r="C1" s="86" t="s">
        <v>26</v>
      </c>
      <c r="D1" s="86" t="s">
        <v>41</v>
      </c>
      <c r="E1" s="86" t="s">
        <v>42</v>
      </c>
      <c r="F1" s="86" t="s">
        <v>43</v>
      </c>
      <c r="G1" s="86" t="s">
        <v>47</v>
      </c>
      <c r="H1" s="24" t="s">
        <v>48</v>
      </c>
      <c r="I1" s="24" t="s">
        <v>49</v>
      </c>
      <c r="J1" s="22" t="s">
        <v>50</v>
      </c>
      <c r="K1" s="24" t="s">
        <v>51</v>
      </c>
      <c r="L1" s="103" t="s">
        <v>52</v>
      </c>
      <c r="M1" s="103" t="s">
        <v>53</v>
      </c>
      <c r="N1" s="103" t="s">
        <v>54</v>
      </c>
      <c r="O1" s="87" t="s">
        <v>55</v>
      </c>
      <c r="P1" s="88"/>
      <c r="Q1" s="88"/>
      <c r="R1" s="90"/>
      <c r="S1" s="88"/>
      <c r="W1" s="88"/>
      <c r="Z1" s="88"/>
      <c r="AB1" s="88"/>
    </row>
    <row r="2" spans="1:28" x14ac:dyDescent="0.3">
      <c r="B2" s="73"/>
      <c r="C2" s="73"/>
      <c r="D2" s="73"/>
      <c r="E2" s="73"/>
      <c r="F2" s="73"/>
      <c r="G2" s="73"/>
      <c r="H2" s="73"/>
      <c r="I2" s="101"/>
      <c r="J2" s="102"/>
      <c r="K2" s="73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</row>
    <row r="3" spans="1:28" x14ac:dyDescent="0.3">
      <c r="B3" s="3"/>
      <c r="C3" s="3"/>
      <c r="D3" s="3"/>
      <c r="E3" s="3"/>
      <c r="F3" s="3"/>
      <c r="G3" s="3"/>
      <c r="H3" s="3"/>
      <c r="I3" s="104"/>
      <c r="J3" s="105"/>
      <c r="K3" s="3"/>
    </row>
    <row r="4" spans="1:28" x14ac:dyDescent="0.3">
      <c r="B4" s="73"/>
      <c r="C4" s="73"/>
      <c r="D4" s="73"/>
      <c r="E4" s="73"/>
      <c r="F4" s="73"/>
      <c r="G4" s="73"/>
      <c r="H4" s="73"/>
      <c r="I4" s="73"/>
      <c r="J4" s="74"/>
      <c r="K4" s="73"/>
    </row>
    <row r="5" spans="1:28" x14ac:dyDescent="0.3">
      <c r="B5" s="3"/>
      <c r="C5" s="3"/>
      <c r="D5" s="3"/>
      <c r="E5" s="3"/>
      <c r="F5" s="3"/>
      <c r="G5" s="3"/>
      <c r="H5" s="3"/>
      <c r="I5" s="3"/>
      <c r="J5" s="8"/>
      <c r="K5" s="3"/>
      <c r="X5" s="88"/>
    </row>
    <row r="6" spans="1:28" x14ac:dyDescent="0.3">
      <c r="B6" s="73"/>
      <c r="C6" s="73"/>
      <c r="D6" s="73"/>
      <c r="E6" s="73"/>
      <c r="F6" s="73"/>
      <c r="G6" s="73"/>
      <c r="H6" s="73"/>
      <c r="I6" s="73"/>
      <c r="J6" s="74"/>
      <c r="K6" s="73"/>
    </row>
    <row r="7" spans="1:28" x14ac:dyDescent="0.3">
      <c r="B7" s="3"/>
      <c r="C7" s="3"/>
      <c r="D7" s="3"/>
      <c r="E7" s="3"/>
      <c r="F7" s="3"/>
      <c r="G7" s="3"/>
      <c r="H7" s="3"/>
      <c r="I7" s="3"/>
      <c r="J7" s="8"/>
      <c r="K7" s="3"/>
    </row>
    <row r="8" spans="1:28" x14ac:dyDescent="0.3">
      <c r="B8" s="73"/>
      <c r="C8" s="73"/>
      <c r="D8" s="73"/>
      <c r="E8" s="73"/>
      <c r="F8" s="73"/>
      <c r="G8" s="73"/>
      <c r="H8" s="73"/>
      <c r="I8" s="73"/>
      <c r="J8" s="74"/>
      <c r="K8" s="73"/>
    </row>
    <row r="9" spans="1:28" x14ac:dyDescent="0.3">
      <c r="B9" s="3"/>
      <c r="C9" s="3"/>
      <c r="D9" s="3"/>
      <c r="E9" s="3"/>
      <c r="F9" s="3"/>
      <c r="G9" s="3"/>
      <c r="H9" s="3"/>
      <c r="I9" s="3"/>
      <c r="J9" s="8"/>
      <c r="K9" s="3"/>
      <c r="S9" s="88"/>
      <c r="X9" s="88"/>
    </row>
    <row r="10" spans="1:28" x14ac:dyDescent="0.3">
      <c r="B10" s="73"/>
      <c r="C10" s="73"/>
      <c r="D10" s="73"/>
      <c r="E10" s="73"/>
      <c r="F10" s="73"/>
      <c r="G10" s="73"/>
      <c r="H10" s="73"/>
      <c r="I10" s="73"/>
      <c r="J10" s="74"/>
      <c r="K10" s="73"/>
      <c r="O10" s="88"/>
      <c r="Q10" s="88"/>
      <c r="W10" s="88"/>
      <c r="X10" s="88"/>
      <c r="Y10" s="88"/>
      <c r="Z10" s="88"/>
      <c r="AA10" s="88"/>
    </row>
    <row r="11" spans="1:28" x14ac:dyDescent="0.3">
      <c r="B11" s="3"/>
      <c r="C11" s="3"/>
      <c r="D11" s="3"/>
      <c r="E11" s="3"/>
      <c r="F11" s="3"/>
      <c r="G11" s="3"/>
      <c r="H11" s="3"/>
      <c r="I11" s="3"/>
      <c r="J11" s="8"/>
      <c r="K11" s="3"/>
      <c r="X11" s="88"/>
      <c r="Y11" s="88"/>
    </row>
    <row r="12" spans="1:28" x14ac:dyDescent="0.3">
      <c r="B12" s="73"/>
      <c r="C12" s="73"/>
      <c r="D12" s="73"/>
      <c r="E12" s="73"/>
      <c r="F12" s="73"/>
      <c r="G12" s="73"/>
      <c r="H12" s="73"/>
      <c r="I12" s="73"/>
      <c r="J12" s="74"/>
      <c r="K12" s="73"/>
    </row>
    <row r="13" spans="1:28" x14ac:dyDescent="0.3">
      <c r="B13" s="3"/>
      <c r="C13" s="3"/>
      <c r="D13" s="3"/>
      <c r="E13" s="3"/>
      <c r="F13" s="3"/>
      <c r="G13" s="3"/>
      <c r="H13" s="3"/>
      <c r="I13" s="3"/>
      <c r="J13" s="8"/>
      <c r="K13" s="3"/>
      <c r="W13" s="88"/>
    </row>
    <row r="14" spans="1:28" x14ac:dyDescent="0.3">
      <c r="B14" s="73"/>
      <c r="C14" s="73"/>
      <c r="D14" s="73"/>
      <c r="E14" s="73"/>
      <c r="F14" s="73"/>
      <c r="G14" s="73"/>
      <c r="H14" s="73"/>
      <c r="I14" s="73"/>
      <c r="J14" s="74"/>
      <c r="K14" s="73"/>
    </row>
    <row r="15" spans="1:28" x14ac:dyDescent="0.3">
      <c r="B15" s="3"/>
      <c r="C15" s="3"/>
      <c r="D15" s="3"/>
      <c r="E15" s="3"/>
      <c r="F15" s="3"/>
      <c r="G15" s="3"/>
      <c r="H15" s="3"/>
      <c r="I15" s="3"/>
      <c r="J15" s="8"/>
      <c r="K15" s="3"/>
    </row>
    <row r="16" spans="1:28" x14ac:dyDescent="0.3">
      <c r="B16" s="73"/>
      <c r="C16" s="73"/>
      <c r="D16" s="73"/>
      <c r="E16" s="73"/>
      <c r="F16" s="73"/>
      <c r="G16" s="73"/>
      <c r="H16" s="73"/>
      <c r="I16" s="73"/>
      <c r="J16" s="74"/>
      <c r="K16" s="73"/>
      <c r="Z16" s="88"/>
    </row>
    <row r="17" spans="2:27" x14ac:dyDescent="0.3">
      <c r="B17" s="3"/>
      <c r="C17" s="3"/>
      <c r="D17" s="3"/>
      <c r="E17" s="3"/>
      <c r="F17" s="3"/>
      <c r="G17" s="3"/>
      <c r="H17" s="3"/>
      <c r="I17" s="3"/>
      <c r="J17" s="8"/>
      <c r="K17" s="3"/>
    </row>
    <row r="18" spans="2:27" x14ac:dyDescent="0.3">
      <c r="B18" s="73"/>
      <c r="C18" s="73"/>
      <c r="D18" s="73"/>
      <c r="E18" s="73"/>
      <c r="F18" s="73"/>
      <c r="G18" s="73"/>
      <c r="H18" s="73"/>
      <c r="I18" s="73"/>
      <c r="J18" s="74"/>
      <c r="K18" s="73"/>
      <c r="X18" s="88"/>
    </row>
    <row r="19" spans="2:27" x14ac:dyDescent="0.3">
      <c r="B19" s="3"/>
      <c r="C19" s="3"/>
      <c r="D19" s="3"/>
      <c r="E19" s="3"/>
      <c r="F19" s="3"/>
      <c r="G19" s="3"/>
      <c r="H19" s="3"/>
      <c r="I19" s="3"/>
      <c r="J19" s="8"/>
      <c r="K19" s="3"/>
      <c r="T19" s="88"/>
      <c r="U19" s="88"/>
    </row>
    <row r="20" spans="2:27" x14ac:dyDescent="0.3">
      <c r="B20" s="73"/>
      <c r="C20" s="73"/>
      <c r="D20" s="73"/>
      <c r="E20" s="73"/>
      <c r="F20" s="73"/>
      <c r="G20" s="73"/>
      <c r="H20" s="73"/>
      <c r="I20" s="73"/>
      <c r="J20" s="74"/>
      <c r="K20" s="73"/>
    </row>
    <row r="21" spans="2:27" x14ac:dyDescent="0.3">
      <c r="B21" s="3"/>
      <c r="C21" s="3"/>
      <c r="D21" s="3"/>
      <c r="E21" s="3"/>
      <c r="F21" s="3"/>
      <c r="G21" s="3"/>
      <c r="H21" s="3"/>
      <c r="I21" s="3"/>
      <c r="J21" s="8"/>
      <c r="K21" s="3"/>
      <c r="AA21" s="88"/>
    </row>
    <row r="22" spans="2:27" x14ac:dyDescent="0.3">
      <c r="B22" s="73"/>
      <c r="C22" s="73"/>
      <c r="D22" s="73"/>
      <c r="E22" s="73"/>
      <c r="F22" s="73"/>
      <c r="G22" s="73"/>
      <c r="H22" s="73"/>
      <c r="I22" s="73"/>
      <c r="J22" s="74"/>
      <c r="K22" s="73"/>
    </row>
    <row r="23" spans="2:27" x14ac:dyDescent="0.3">
      <c r="B23" s="3"/>
      <c r="C23" s="3"/>
      <c r="D23" s="3"/>
      <c r="E23" s="3"/>
      <c r="F23" s="3"/>
      <c r="G23" s="3"/>
      <c r="H23" s="3"/>
      <c r="I23" s="3"/>
      <c r="J23" s="8"/>
      <c r="K23" s="3"/>
    </row>
    <row r="24" spans="2:27" x14ac:dyDescent="0.3">
      <c r="B24" s="73"/>
      <c r="C24" s="73"/>
      <c r="D24" s="73"/>
      <c r="E24" s="73"/>
      <c r="F24" s="73"/>
      <c r="G24" s="73"/>
      <c r="H24" s="73"/>
      <c r="I24" s="73"/>
      <c r="J24" s="74"/>
      <c r="K24" s="73"/>
    </row>
    <row r="25" spans="2:27" x14ac:dyDescent="0.3">
      <c r="B25" s="3"/>
      <c r="C25" s="3"/>
      <c r="D25" s="3"/>
      <c r="E25" s="3"/>
      <c r="F25" s="3"/>
      <c r="G25" s="3"/>
      <c r="H25" s="3"/>
      <c r="I25" s="3"/>
      <c r="J25" s="8"/>
      <c r="K25" s="3"/>
      <c r="X25" s="88"/>
    </row>
    <row r="26" spans="2:27" x14ac:dyDescent="0.3">
      <c r="B26" s="73"/>
      <c r="C26" s="73"/>
      <c r="D26" s="73"/>
      <c r="E26" s="73"/>
      <c r="F26" s="73"/>
      <c r="G26" s="73"/>
      <c r="H26" s="73"/>
      <c r="I26" s="73"/>
      <c r="J26" s="74"/>
      <c r="K26" s="73"/>
    </row>
    <row r="27" spans="2:27" x14ac:dyDescent="0.3">
      <c r="B27" s="3"/>
      <c r="C27" s="3"/>
      <c r="D27" s="3"/>
      <c r="E27" s="3"/>
      <c r="F27" s="3"/>
      <c r="G27" s="3"/>
      <c r="H27" s="3"/>
      <c r="I27" s="3"/>
      <c r="J27" s="8"/>
      <c r="K27" s="3"/>
    </row>
    <row r="28" spans="2:27" x14ac:dyDescent="0.3">
      <c r="B28" s="73"/>
      <c r="C28" s="73"/>
      <c r="D28" s="73"/>
      <c r="E28" s="73"/>
      <c r="F28" s="73"/>
      <c r="G28" s="73"/>
      <c r="H28" s="73"/>
      <c r="I28" s="73"/>
      <c r="J28" s="74"/>
      <c r="K28" s="73"/>
    </row>
    <row r="29" spans="2:27" x14ac:dyDescent="0.3">
      <c r="B29" s="3"/>
      <c r="C29" s="3"/>
      <c r="D29" s="3"/>
      <c r="E29" s="3"/>
      <c r="F29" s="3"/>
      <c r="G29" s="3"/>
      <c r="H29" s="3"/>
      <c r="I29" s="3"/>
      <c r="J29" s="8"/>
      <c r="K29" s="3"/>
    </row>
    <row r="30" spans="2:27" x14ac:dyDescent="0.3">
      <c r="B30" s="73"/>
      <c r="C30" s="73"/>
      <c r="D30" s="73"/>
      <c r="E30" s="73"/>
      <c r="F30" s="73"/>
      <c r="G30" s="73"/>
      <c r="H30" s="73"/>
      <c r="I30" s="73"/>
      <c r="J30" s="74"/>
      <c r="K30" s="73"/>
    </row>
    <row r="31" spans="2:27" x14ac:dyDescent="0.3">
      <c r="B31" s="3"/>
      <c r="C31" s="3"/>
      <c r="D31" s="3"/>
      <c r="E31" s="3"/>
      <c r="F31" s="3"/>
      <c r="G31" s="3"/>
      <c r="H31" s="3"/>
      <c r="I31" s="3"/>
      <c r="J31" s="8"/>
      <c r="K31" s="3"/>
    </row>
    <row r="32" spans="2:27" x14ac:dyDescent="0.3">
      <c r="B32" s="73"/>
      <c r="C32" s="73"/>
      <c r="D32" s="73"/>
      <c r="E32" s="73"/>
      <c r="F32" s="73"/>
      <c r="G32" s="73"/>
      <c r="H32" s="73"/>
      <c r="I32" s="73"/>
      <c r="J32" s="74"/>
      <c r="K32" s="73"/>
    </row>
    <row r="33" spans="2:11" x14ac:dyDescent="0.3">
      <c r="B33" s="3"/>
      <c r="C33" s="3"/>
      <c r="D33" s="3"/>
      <c r="E33" s="3"/>
      <c r="F33" s="3"/>
      <c r="G33" s="3"/>
      <c r="H33" s="3"/>
      <c r="I33" s="3"/>
      <c r="J33" s="8"/>
      <c r="K33" s="3"/>
    </row>
    <row r="34" spans="2:11" x14ac:dyDescent="0.3">
      <c r="B34" s="73"/>
      <c r="C34" s="73"/>
      <c r="D34" s="73"/>
      <c r="E34" s="73"/>
      <c r="F34" s="73"/>
      <c r="G34" s="73"/>
      <c r="H34" s="73"/>
      <c r="I34" s="73"/>
      <c r="J34" s="74"/>
      <c r="K34" s="73"/>
    </row>
    <row r="35" spans="2:11" x14ac:dyDescent="0.3">
      <c r="B35" s="3"/>
      <c r="C35" s="3"/>
      <c r="D35" s="3"/>
      <c r="E35" s="3"/>
      <c r="F35" s="3"/>
      <c r="G35" s="3"/>
      <c r="H35" s="3"/>
      <c r="I35" s="3"/>
      <c r="J35" s="8"/>
      <c r="K35" s="3"/>
    </row>
    <row r="36" spans="2:11" x14ac:dyDescent="0.3">
      <c r="B36" s="73"/>
      <c r="C36" s="73"/>
      <c r="D36" s="73"/>
      <c r="E36" s="73"/>
      <c r="F36" s="73"/>
      <c r="G36" s="73"/>
      <c r="H36" s="73"/>
      <c r="I36" s="73"/>
      <c r="J36" s="74"/>
      <c r="K36" s="73"/>
    </row>
    <row r="37" spans="2:11" x14ac:dyDescent="0.3">
      <c r="B37" s="3"/>
      <c r="C37" s="3"/>
      <c r="D37" s="3"/>
      <c r="E37" s="3"/>
      <c r="F37" s="3"/>
      <c r="G37" s="3"/>
      <c r="H37" s="3"/>
      <c r="I37" s="3"/>
      <c r="J37" s="8"/>
      <c r="K37" s="3"/>
    </row>
    <row r="38" spans="2:11" x14ac:dyDescent="0.3">
      <c r="B38" s="73"/>
      <c r="C38" s="73"/>
      <c r="D38" s="73"/>
      <c r="E38" s="73"/>
      <c r="F38" s="73"/>
      <c r="G38" s="73"/>
      <c r="H38" s="73"/>
      <c r="I38" s="73"/>
      <c r="J38" s="74"/>
      <c r="K38" s="73"/>
    </row>
    <row r="39" spans="2:11" x14ac:dyDescent="0.3">
      <c r="B39" s="3"/>
      <c r="C39" s="3"/>
      <c r="D39" s="3"/>
      <c r="E39" s="3"/>
      <c r="F39" s="3"/>
      <c r="G39" s="3"/>
      <c r="H39" s="3"/>
      <c r="I39" s="3"/>
      <c r="J39" s="8"/>
      <c r="K39" s="3"/>
    </row>
    <row r="40" spans="2:11" x14ac:dyDescent="0.3">
      <c r="B40" s="73"/>
      <c r="C40" s="73"/>
      <c r="D40" s="73"/>
      <c r="E40" s="73"/>
      <c r="F40" s="73"/>
      <c r="G40" s="73"/>
      <c r="H40" s="73"/>
      <c r="I40" s="73"/>
      <c r="J40" s="74"/>
      <c r="K40" s="73"/>
    </row>
    <row r="41" spans="2:11" x14ac:dyDescent="0.3">
      <c r="B41" s="3"/>
      <c r="C41" s="3"/>
      <c r="D41" s="3"/>
      <c r="E41" s="3"/>
      <c r="F41" s="3"/>
      <c r="G41" s="3"/>
      <c r="H41" s="3"/>
      <c r="I41" s="3"/>
      <c r="J41" s="8"/>
      <c r="K41" s="3"/>
    </row>
    <row r="42" spans="2:11" x14ac:dyDescent="0.3">
      <c r="B42" s="73"/>
      <c r="C42" s="73"/>
      <c r="D42" s="73"/>
      <c r="E42" s="73"/>
      <c r="F42" s="73"/>
      <c r="G42" s="73"/>
      <c r="H42" s="73"/>
      <c r="I42" s="73"/>
      <c r="J42" s="74"/>
      <c r="K42" s="73"/>
    </row>
    <row r="43" spans="2:11" x14ac:dyDescent="0.3">
      <c r="B43" s="3"/>
      <c r="C43" s="3"/>
      <c r="D43" s="3"/>
      <c r="E43" s="3"/>
      <c r="F43" s="3"/>
      <c r="G43" s="3"/>
      <c r="H43" s="3"/>
      <c r="I43" s="3"/>
      <c r="J43" s="8"/>
      <c r="K43" s="3"/>
    </row>
    <row r="44" spans="2:11" x14ac:dyDescent="0.3">
      <c r="B44" s="73"/>
      <c r="C44" s="73"/>
      <c r="D44" s="73"/>
      <c r="E44" s="73"/>
      <c r="F44" s="73"/>
      <c r="G44" s="73"/>
      <c r="H44" s="73"/>
      <c r="I44" s="73"/>
      <c r="J44" s="74"/>
      <c r="K44" s="73"/>
    </row>
    <row r="45" spans="2:11" x14ac:dyDescent="0.3">
      <c r="B45" s="3"/>
      <c r="C45" s="3"/>
      <c r="D45" s="3"/>
      <c r="E45" s="3"/>
      <c r="F45" s="3"/>
      <c r="G45" s="3"/>
      <c r="H45" s="3"/>
      <c r="I45" s="3"/>
      <c r="J45" s="8"/>
      <c r="K45" s="3"/>
    </row>
    <row r="46" spans="2:11" x14ac:dyDescent="0.3">
      <c r="B46" s="73"/>
      <c r="C46" s="73"/>
      <c r="D46" s="73"/>
      <c r="E46" s="73"/>
      <c r="F46" s="73"/>
      <c r="G46" s="73"/>
      <c r="H46" s="73"/>
      <c r="I46" s="73"/>
      <c r="J46" s="74"/>
      <c r="K46" s="73"/>
    </row>
    <row r="47" spans="2:11" x14ac:dyDescent="0.3">
      <c r="B47" s="3"/>
      <c r="C47" s="3"/>
      <c r="D47" s="3"/>
      <c r="E47" s="3"/>
      <c r="F47" s="3"/>
      <c r="G47" s="3"/>
      <c r="H47" s="3"/>
      <c r="I47" s="3"/>
      <c r="J47" s="8"/>
      <c r="K47" s="3"/>
    </row>
    <row r="48" spans="2:11" x14ac:dyDescent="0.3">
      <c r="B48" s="73"/>
      <c r="C48" s="73"/>
      <c r="D48" s="73"/>
      <c r="E48" s="73"/>
      <c r="F48" s="73"/>
      <c r="G48" s="73"/>
      <c r="H48" s="73"/>
      <c r="I48" s="73"/>
      <c r="J48" s="74"/>
      <c r="K48" s="73"/>
    </row>
    <row r="49" spans="2:11" x14ac:dyDescent="0.3">
      <c r="B49" s="3"/>
      <c r="C49" s="3"/>
      <c r="D49" s="3"/>
      <c r="E49" s="3"/>
      <c r="F49" s="3"/>
      <c r="G49" s="3"/>
      <c r="H49" s="3"/>
      <c r="I49" s="3"/>
      <c r="J49" s="8"/>
      <c r="K49" s="3"/>
    </row>
    <row r="50" spans="2:11" x14ac:dyDescent="0.3">
      <c r="B50" s="73"/>
      <c r="C50" s="73"/>
      <c r="D50" s="73"/>
      <c r="E50" s="73"/>
      <c r="F50" s="73"/>
      <c r="G50" s="73"/>
      <c r="H50" s="73"/>
      <c r="I50" s="73"/>
      <c r="J50" s="74"/>
      <c r="K50" s="73"/>
    </row>
    <row r="51" spans="2:11" x14ac:dyDescent="0.3">
      <c r="B51" s="3"/>
      <c r="C51" s="3"/>
      <c r="D51" s="3"/>
      <c r="E51" s="3"/>
      <c r="F51" s="3"/>
      <c r="G51" s="3"/>
      <c r="H51" s="3"/>
      <c r="I51" s="3"/>
      <c r="J51" s="8"/>
      <c r="K51" s="3"/>
    </row>
    <row r="52" spans="2:11" x14ac:dyDescent="0.3">
      <c r="B52" s="73"/>
      <c r="C52" s="73"/>
      <c r="D52" s="73"/>
      <c r="E52" s="73"/>
      <c r="F52" s="73"/>
      <c r="G52" s="73"/>
      <c r="H52" s="73"/>
      <c r="I52" s="73"/>
      <c r="J52" s="74"/>
      <c r="K52" s="73"/>
    </row>
    <row r="53" spans="2:11" x14ac:dyDescent="0.3">
      <c r="B53" s="3"/>
      <c r="C53" s="3"/>
      <c r="D53" s="3"/>
      <c r="E53" s="3"/>
      <c r="F53" s="3"/>
      <c r="G53" s="3"/>
      <c r="H53" s="3"/>
      <c r="I53" s="3"/>
      <c r="J53" s="8"/>
      <c r="K53" s="3"/>
    </row>
    <row r="54" spans="2:11" x14ac:dyDescent="0.3">
      <c r="B54" s="73"/>
      <c r="C54" s="73"/>
      <c r="D54" s="73"/>
      <c r="E54" s="73"/>
      <c r="F54" s="73"/>
      <c r="G54" s="73"/>
      <c r="H54" s="73"/>
      <c r="I54" s="73"/>
      <c r="J54" s="74"/>
      <c r="K54" s="73"/>
    </row>
    <row r="55" spans="2:11" x14ac:dyDescent="0.3">
      <c r="B55" s="3"/>
      <c r="C55" s="3"/>
      <c r="D55" s="3"/>
      <c r="E55" s="3"/>
      <c r="F55" s="3"/>
      <c r="G55" s="3"/>
      <c r="H55" s="3"/>
      <c r="I55" s="3"/>
      <c r="J55" s="8"/>
      <c r="K55" s="3"/>
    </row>
    <row r="56" spans="2:11" x14ac:dyDescent="0.3">
      <c r="B56" s="73"/>
      <c r="C56" s="73"/>
      <c r="D56" s="73"/>
      <c r="E56" s="73"/>
      <c r="F56" s="73"/>
      <c r="G56" s="73"/>
      <c r="H56" s="73"/>
      <c r="I56" s="73"/>
      <c r="J56" s="74"/>
      <c r="K56" s="73"/>
    </row>
    <row r="57" spans="2:11" x14ac:dyDescent="0.3">
      <c r="B57" s="3"/>
      <c r="C57" s="3"/>
      <c r="D57" s="3"/>
      <c r="E57" s="3"/>
      <c r="F57" s="3"/>
      <c r="G57" s="3"/>
      <c r="H57" s="3"/>
      <c r="I57" s="3"/>
      <c r="J57" s="8"/>
      <c r="K57" s="3"/>
    </row>
    <row r="58" spans="2:11" x14ac:dyDescent="0.3">
      <c r="B58" s="73"/>
      <c r="C58" s="73"/>
      <c r="D58" s="73"/>
      <c r="E58" s="73"/>
      <c r="F58" s="73"/>
      <c r="G58" s="73"/>
      <c r="H58" s="73"/>
      <c r="I58" s="73"/>
      <c r="J58" s="74"/>
      <c r="K58" s="73"/>
    </row>
    <row r="59" spans="2:11" x14ac:dyDescent="0.3">
      <c r="B59" s="3"/>
      <c r="C59" s="3"/>
      <c r="D59" s="3"/>
      <c r="E59" s="3"/>
      <c r="F59" s="3"/>
      <c r="G59" s="3"/>
      <c r="H59" s="3"/>
      <c r="I59" s="3"/>
      <c r="J59" s="8"/>
      <c r="K59" s="3"/>
    </row>
    <row r="60" spans="2:11" x14ac:dyDescent="0.3">
      <c r="B60" s="73"/>
      <c r="C60" s="73"/>
      <c r="D60" s="73"/>
      <c r="E60" s="73"/>
      <c r="F60" s="73"/>
      <c r="G60" s="73"/>
      <c r="H60" s="73"/>
      <c r="I60" s="73"/>
      <c r="J60" s="74"/>
      <c r="K60" s="73"/>
    </row>
    <row r="61" spans="2:11" x14ac:dyDescent="0.3">
      <c r="B61" s="3"/>
      <c r="C61" s="3"/>
      <c r="D61" s="3"/>
      <c r="E61" s="3"/>
      <c r="F61" s="3"/>
      <c r="G61" s="3"/>
      <c r="H61" s="3"/>
      <c r="I61" s="3"/>
      <c r="J61" s="8"/>
      <c r="K61" s="3"/>
    </row>
    <row r="62" spans="2:11" x14ac:dyDescent="0.3">
      <c r="B62" s="73"/>
      <c r="C62" s="73"/>
      <c r="D62" s="73"/>
      <c r="E62" s="73"/>
      <c r="F62" s="73"/>
      <c r="G62" s="73"/>
      <c r="H62" s="73"/>
      <c r="I62" s="73"/>
      <c r="J62" s="74"/>
      <c r="K62" s="73"/>
    </row>
    <row r="63" spans="2:11" x14ac:dyDescent="0.3">
      <c r="B63" s="3"/>
      <c r="C63" s="3"/>
      <c r="D63" s="3"/>
      <c r="E63" s="3"/>
      <c r="F63" s="3"/>
      <c r="G63" s="3"/>
      <c r="H63" s="3"/>
      <c r="I63" s="3"/>
      <c r="J63" s="8"/>
      <c r="K63" s="3"/>
    </row>
    <row r="64" spans="2:11" x14ac:dyDescent="0.3">
      <c r="B64" s="73"/>
      <c r="C64" s="73"/>
      <c r="D64" s="73"/>
      <c r="E64" s="73"/>
      <c r="F64" s="73"/>
      <c r="G64" s="73"/>
      <c r="H64" s="73"/>
      <c r="I64" s="73"/>
      <c r="J64" s="74"/>
      <c r="K64" s="73"/>
    </row>
    <row r="65" spans="2:11" x14ac:dyDescent="0.3">
      <c r="B65" s="3"/>
      <c r="C65" s="3"/>
      <c r="D65" s="3"/>
      <c r="E65" s="3"/>
      <c r="F65" s="3"/>
      <c r="G65" s="3"/>
      <c r="H65" s="3"/>
      <c r="I65" s="3"/>
      <c r="J65" s="8"/>
      <c r="K65" s="3"/>
    </row>
    <row r="66" spans="2:11" x14ac:dyDescent="0.3">
      <c r="B66" s="73"/>
      <c r="C66" s="73"/>
      <c r="D66" s="73"/>
      <c r="E66" s="73"/>
      <c r="F66" s="73"/>
      <c r="G66" s="73"/>
      <c r="H66" s="73"/>
      <c r="I66" s="73"/>
      <c r="J66" s="74"/>
      <c r="K66" s="73"/>
    </row>
    <row r="67" spans="2:11" x14ac:dyDescent="0.3">
      <c r="B67" s="3"/>
      <c r="C67" s="3"/>
      <c r="D67" s="3"/>
      <c r="E67" s="3"/>
      <c r="F67" s="3"/>
      <c r="G67" s="3"/>
      <c r="H67" s="3"/>
      <c r="I67" s="3"/>
      <c r="J67" s="8"/>
      <c r="K67" s="3"/>
    </row>
    <row r="68" spans="2:11" x14ac:dyDescent="0.3">
      <c r="B68" s="73"/>
      <c r="C68" s="73"/>
      <c r="D68" s="73"/>
      <c r="E68" s="73"/>
      <c r="F68" s="73"/>
      <c r="G68" s="73"/>
      <c r="H68" s="73"/>
      <c r="I68" s="73"/>
      <c r="J68" s="74"/>
      <c r="K68" s="73"/>
    </row>
    <row r="69" spans="2:11" x14ac:dyDescent="0.3">
      <c r="B69" s="3"/>
      <c r="C69" s="3"/>
      <c r="D69" s="3"/>
      <c r="E69" s="3"/>
      <c r="F69" s="3"/>
      <c r="G69" s="3"/>
      <c r="H69" s="3"/>
      <c r="I69" s="3"/>
      <c r="J69" s="8"/>
      <c r="K69" s="3"/>
    </row>
    <row r="70" spans="2:11" x14ac:dyDescent="0.3">
      <c r="B70" s="73"/>
      <c r="C70" s="73"/>
      <c r="D70" s="73"/>
      <c r="E70" s="73"/>
      <c r="F70" s="73"/>
      <c r="G70" s="73"/>
      <c r="H70" s="73"/>
      <c r="I70" s="73"/>
      <c r="J70" s="74"/>
      <c r="K70" s="73"/>
    </row>
    <row r="71" spans="2:11" x14ac:dyDescent="0.3">
      <c r="B71" s="3"/>
      <c r="C71" s="3"/>
      <c r="D71" s="3"/>
      <c r="E71" s="3"/>
      <c r="F71" s="3"/>
      <c r="G71" s="3"/>
      <c r="H71" s="3"/>
      <c r="I71" s="3"/>
      <c r="J71" s="8"/>
      <c r="K71" s="3"/>
    </row>
    <row r="72" spans="2:11" x14ac:dyDescent="0.3">
      <c r="B72" s="73"/>
      <c r="C72" s="73"/>
      <c r="D72" s="73"/>
      <c r="E72" s="73"/>
      <c r="F72" s="73"/>
      <c r="G72" s="73"/>
      <c r="H72" s="73"/>
      <c r="I72" s="73"/>
      <c r="J72" s="74"/>
      <c r="K72" s="73"/>
    </row>
    <row r="73" spans="2:11" x14ac:dyDescent="0.3">
      <c r="B73" s="3"/>
      <c r="C73" s="3"/>
      <c r="D73" s="3"/>
      <c r="E73" s="3"/>
      <c r="F73" s="3"/>
      <c r="G73" s="3"/>
      <c r="H73" s="3"/>
      <c r="I73" s="3"/>
      <c r="J73" s="8"/>
      <c r="K73" s="3"/>
    </row>
    <row r="74" spans="2:11" x14ac:dyDescent="0.3">
      <c r="B74" s="73"/>
      <c r="C74" s="73"/>
      <c r="D74" s="73"/>
      <c r="E74" s="73"/>
      <c r="F74" s="73"/>
      <c r="G74" s="73"/>
      <c r="H74" s="73"/>
      <c r="I74" s="73"/>
      <c r="J74" s="74"/>
      <c r="K74" s="73"/>
    </row>
    <row r="75" spans="2:11" x14ac:dyDescent="0.3">
      <c r="B75" s="3"/>
      <c r="C75" s="3"/>
      <c r="D75" s="3"/>
      <c r="E75" s="3"/>
      <c r="F75" s="3"/>
      <c r="G75" s="3"/>
      <c r="H75" s="3"/>
      <c r="I75" s="3"/>
      <c r="J75" s="8"/>
      <c r="K75" s="3"/>
    </row>
    <row r="76" spans="2:11" x14ac:dyDescent="0.3">
      <c r="B76" s="73"/>
      <c r="C76" s="73"/>
      <c r="D76" s="73"/>
      <c r="E76" s="73"/>
      <c r="F76" s="73"/>
      <c r="G76" s="73"/>
      <c r="H76" s="73"/>
      <c r="I76" s="73"/>
      <c r="J76" s="74"/>
      <c r="K76" s="73"/>
    </row>
    <row r="77" spans="2:11" x14ac:dyDescent="0.3">
      <c r="B77" s="3"/>
      <c r="C77" s="3"/>
      <c r="D77" s="3"/>
      <c r="E77" s="3"/>
      <c r="F77" s="3"/>
      <c r="G77" s="3"/>
      <c r="H77" s="3"/>
      <c r="I77" s="3"/>
      <c r="J77" s="8"/>
      <c r="K77" s="3"/>
    </row>
    <row r="78" spans="2:11" x14ac:dyDescent="0.3">
      <c r="B78" s="73"/>
      <c r="C78" s="73"/>
      <c r="D78" s="73"/>
      <c r="E78" s="73"/>
      <c r="F78" s="73"/>
      <c r="G78" s="73"/>
      <c r="H78" s="73"/>
      <c r="I78" s="73"/>
      <c r="J78" s="74"/>
      <c r="K78" s="73"/>
    </row>
    <row r="79" spans="2:11" x14ac:dyDescent="0.3">
      <c r="B79" s="3"/>
      <c r="C79" s="3"/>
      <c r="D79" s="3"/>
      <c r="E79" s="3"/>
      <c r="F79" s="3"/>
      <c r="G79" s="3"/>
      <c r="H79" s="3"/>
      <c r="I79" s="3"/>
      <c r="J79" s="8"/>
      <c r="K79" s="3"/>
    </row>
    <row r="80" spans="2:11" x14ac:dyDescent="0.3">
      <c r="B80" s="73"/>
      <c r="C80" s="73"/>
      <c r="D80" s="73"/>
      <c r="E80" s="73"/>
      <c r="F80" s="73"/>
      <c r="G80" s="73"/>
      <c r="H80" s="73"/>
      <c r="I80" s="73"/>
      <c r="J80" s="74"/>
      <c r="K80" s="73"/>
    </row>
    <row r="81" spans="2:11" x14ac:dyDescent="0.3">
      <c r="B81" s="3"/>
      <c r="C81" s="3"/>
      <c r="D81" s="3"/>
      <c r="E81" s="3"/>
      <c r="F81" s="3"/>
      <c r="G81" s="3"/>
      <c r="H81" s="3"/>
      <c r="I81" s="3"/>
      <c r="J81" s="8"/>
      <c r="K81" s="3"/>
    </row>
    <row r="82" spans="2:11" x14ac:dyDescent="0.3">
      <c r="B82" s="73"/>
      <c r="C82" s="73"/>
      <c r="D82" s="73"/>
      <c r="E82" s="73"/>
      <c r="F82" s="73"/>
      <c r="G82" s="73"/>
      <c r="H82" s="73"/>
      <c r="I82" s="73"/>
      <c r="J82" s="74"/>
      <c r="K82" s="73"/>
    </row>
    <row r="83" spans="2:11" x14ac:dyDescent="0.3">
      <c r="B83" s="3"/>
      <c r="C83" s="3"/>
      <c r="D83" s="3"/>
      <c r="E83" s="3"/>
      <c r="F83" s="3"/>
      <c r="G83" s="3"/>
      <c r="H83" s="3"/>
      <c r="I83" s="3"/>
      <c r="J83" s="8"/>
      <c r="K83" s="3"/>
    </row>
    <row r="84" spans="2:11" x14ac:dyDescent="0.3">
      <c r="B84" s="73"/>
      <c r="C84" s="73"/>
      <c r="D84" s="73"/>
      <c r="E84" s="73"/>
      <c r="F84" s="73"/>
      <c r="G84" s="73"/>
      <c r="H84" s="73"/>
      <c r="I84" s="73"/>
      <c r="J84" s="74"/>
      <c r="K84" s="73"/>
    </row>
    <row r="85" spans="2:11" x14ac:dyDescent="0.3">
      <c r="B85" s="3"/>
      <c r="C85" s="3"/>
      <c r="D85" s="3"/>
      <c r="E85" s="3"/>
      <c r="F85" s="3"/>
      <c r="G85" s="3"/>
      <c r="H85" s="3"/>
      <c r="I85" s="3"/>
      <c r="J85" s="8"/>
      <c r="K85" s="3"/>
    </row>
    <row r="86" spans="2:11" x14ac:dyDescent="0.3">
      <c r="B86" s="73"/>
      <c r="C86" s="73"/>
      <c r="D86" s="73"/>
      <c r="E86" s="73"/>
      <c r="F86" s="73"/>
      <c r="G86" s="73"/>
      <c r="H86" s="73"/>
      <c r="I86" s="73"/>
      <c r="J86" s="74"/>
      <c r="K86" s="73"/>
    </row>
    <row r="87" spans="2:11" x14ac:dyDescent="0.3">
      <c r="B87" s="3"/>
      <c r="C87" s="3"/>
      <c r="D87" s="3"/>
      <c r="E87" s="3"/>
      <c r="F87" s="3"/>
      <c r="G87" s="3"/>
      <c r="H87" s="3"/>
      <c r="I87" s="3"/>
      <c r="J87" s="8"/>
      <c r="K87" s="3"/>
    </row>
    <row r="88" spans="2:11" x14ac:dyDescent="0.3">
      <c r="B88" s="73"/>
      <c r="C88" s="73"/>
      <c r="D88" s="73"/>
      <c r="E88" s="73"/>
      <c r="F88" s="73"/>
      <c r="G88" s="73"/>
      <c r="H88" s="73"/>
      <c r="I88" s="73"/>
      <c r="J88" s="74"/>
      <c r="K88" s="73"/>
    </row>
    <row r="89" spans="2:11" x14ac:dyDescent="0.3">
      <c r="B89" s="3"/>
      <c r="C89" s="3"/>
      <c r="D89" s="3"/>
      <c r="E89" s="3"/>
      <c r="F89" s="3"/>
      <c r="G89" s="3"/>
      <c r="H89" s="3"/>
      <c r="I89" s="3"/>
      <c r="J89" s="8"/>
      <c r="K89" s="3"/>
    </row>
    <row r="90" spans="2:11" x14ac:dyDescent="0.3">
      <c r="B90" s="73"/>
      <c r="C90" s="73"/>
      <c r="D90" s="73"/>
      <c r="E90" s="73"/>
      <c r="F90" s="73"/>
      <c r="G90" s="73"/>
      <c r="H90" s="73"/>
      <c r="I90" s="73"/>
      <c r="J90" s="74"/>
      <c r="K90" s="73"/>
    </row>
    <row r="91" spans="2:11" x14ac:dyDescent="0.3">
      <c r="B91" s="3"/>
      <c r="C91" s="3"/>
      <c r="D91" s="3"/>
      <c r="E91" s="3"/>
      <c r="F91" s="3"/>
      <c r="G91" s="3"/>
      <c r="H91" s="3"/>
      <c r="I91" s="3"/>
      <c r="J91" s="8"/>
      <c r="K91" s="3"/>
    </row>
    <row r="92" spans="2:11" x14ac:dyDescent="0.3">
      <c r="B92" s="73"/>
      <c r="C92" s="73"/>
      <c r="D92" s="73"/>
      <c r="E92" s="73"/>
      <c r="F92" s="73"/>
      <c r="G92" s="73"/>
      <c r="H92" s="73"/>
      <c r="I92" s="73"/>
      <c r="J92" s="74"/>
      <c r="K92" s="73"/>
    </row>
    <row r="93" spans="2:11" x14ac:dyDescent="0.3">
      <c r="B93" s="3"/>
      <c r="C93" s="3"/>
      <c r="D93" s="3"/>
      <c r="E93" s="3"/>
      <c r="F93" s="3"/>
      <c r="G93" s="3"/>
      <c r="H93" s="3"/>
      <c r="I93" s="3"/>
      <c r="J93" s="8"/>
      <c r="K93" s="3"/>
    </row>
    <row r="94" spans="2:11" x14ac:dyDescent="0.3">
      <c r="B94" s="73"/>
      <c r="C94" s="73"/>
      <c r="D94" s="73"/>
      <c r="E94" s="73"/>
      <c r="F94" s="73"/>
      <c r="G94" s="73"/>
      <c r="H94" s="73"/>
      <c r="I94" s="73"/>
      <c r="J94" s="74"/>
      <c r="K94" s="73"/>
    </row>
    <row r="95" spans="2:11" x14ac:dyDescent="0.3">
      <c r="B95" s="3"/>
      <c r="C95" s="3"/>
      <c r="D95" s="3"/>
      <c r="E95" s="3"/>
      <c r="F95" s="3"/>
      <c r="G95" s="3"/>
      <c r="H95" s="3"/>
      <c r="I95" s="3"/>
      <c r="J95" s="8"/>
      <c r="K95" s="3"/>
    </row>
    <row r="96" spans="2:11" x14ac:dyDescent="0.3">
      <c r="B96" s="73"/>
      <c r="C96" s="73"/>
      <c r="D96" s="73"/>
      <c r="E96" s="73"/>
      <c r="F96" s="73"/>
      <c r="G96" s="73"/>
      <c r="H96" s="73"/>
      <c r="I96" s="73"/>
      <c r="J96" s="74"/>
      <c r="K96" s="73"/>
    </row>
    <row r="97" spans="2:11" x14ac:dyDescent="0.3">
      <c r="B97" s="3"/>
      <c r="C97" s="3"/>
      <c r="D97" s="3"/>
      <c r="E97" s="3"/>
      <c r="F97" s="3"/>
      <c r="G97" s="3"/>
      <c r="H97" s="3"/>
      <c r="I97" s="3"/>
      <c r="J97" s="8"/>
      <c r="K97" s="3"/>
    </row>
    <row r="98" spans="2:11" x14ac:dyDescent="0.3">
      <c r="B98" s="73"/>
      <c r="C98" s="73"/>
      <c r="D98" s="73"/>
      <c r="E98" s="73"/>
      <c r="F98" s="73"/>
      <c r="G98" s="73"/>
      <c r="H98" s="73"/>
      <c r="I98" s="73"/>
      <c r="J98" s="74"/>
      <c r="K98" s="73"/>
    </row>
    <row r="99" spans="2:11" x14ac:dyDescent="0.3">
      <c r="B99" s="3"/>
      <c r="C99" s="3"/>
      <c r="D99" s="3"/>
      <c r="E99" s="3"/>
      <c r="F99" s="3"/>
      <c r="G99" s="3"/>
      <c r="H99" s="3"/>
      <c r="I99" s="3"/>
      <c r="J99" s="8"/>
      <c r="K99" s="3"/>
    </row>
    <row r="100" spans="2:11" x14ac:dyDescent="0.3">
      <c r="B100" s="73"/>
      <c r="C100" s="73"/>
      <c r="D100" s="73"/>
      <c r="E100" s="73"/>
      <c r="F100" s="73"/>
      <c r="G100" s="73"/>
      <c r="H100" s="73"/>
      <c r="I100" s="73"/>
      <c r="J100" s="74"/>
      <c r="K100" s="73"/>
    </row>
    <row r="101" spans="2:11" x14ac:dyDescent="0.3">
      <c r="B101" s="3"/>
      <c r="C101" s="3"/>
      <c r="D101" s="3"/>
      <c r="E101" s="3"/>
      <c r="F101" s="3"/>
      <c r="G101" s="3"/>
      <c r="H101" s="3"/>
      <c r="I101" s="3"/>
      <c r="J101" s="8"/>
      <c r="K101" s="3"/>
    </row>
    <row r="102" spans="2:11" x14ac:dyDescent="0.3">
      <c r="B102" s="73"/>
      <c r="C102" s="73"/>
      <c r="D102" s="73"/>
      <c r="E102" s="73"/>
      <c r="F102" s="73"/>
      <c r="G102" s="73"/>
      <c r="H102" s="73"/>
      <c r="I102" s="73"/>
      <c r="J102" s="74"/>
      <c r="K102" s="73"/>
    </row>
    <row r="103" spans="2:11" x14ac:dyDescent="0.3">
      <c r="B103" s="3"/>
      <c r="C103" s="3"/>
      <c r="D103" s="3"/>
      <c r="E103" s="3"/>
      <c r="F103" s="3"/>
      <c r="G103" s="3"/>
      <c r="H103" s="3"/>
      <c r="I103" s="3"/>
      <c r="J103" s="8"/>
      <c r="K103" s="3"/>
    </row>
    <row r="104" spans="2:11" x14ac:dyDescent="0.3">
      <c r="B104" s="73"/>
      <c r="C104" s="73"/>
      <c r="D104" s="73"/>
      <c r="E104" s="73"/>
      <c r="F104" s="73"/>
      <c r="G104" s="73"/>
      <c r="H104" s="73"/>
      <c r="I104" s="73"/>
      <c r="J104" s="74"/>
      <c r="K104" s="73"/>
    </row>
    <row r="105" spans="2:11" x14ac:dyDescent="0.3">
      <c r="B105" s="3"/>
      <c r="C105" s="3"/>
      <c r="D105" s="3"/>
      <c r="E105" s="3"/>
      <c r="F105" s="3"/>
      <c r="G105" s="3"/>
      <c r="H105" s="3"/>
      <c r="I105" s="3"/>
      <c r="J105" s="8"/>
      <c r="K105" s="3"/>
    </row>
    <row r="106" spans="2:11" x14ac:dyDescent="0.3">
      <c r="B106" s="73"/>
      <c r="C106" s="73"/>
      <c r="D106" s="73"/>
      <c r="E106" s="73"/>
      <c r="F106" s="73"/>
      <c r="G106" s="73"/>
      <c r="H106" s="73"/>
      <c r="I106" s="73"/>
      <c r="J106" s="74"/>
      <c r="K106" s="73"/>
    </row>
    <row r="107" spans="2:11" x14ac:dyDescent="0.3">
      <c r="B107" s="3"/>
      <c r="C107" s="3"/>
      <c r="D107" s="3"/>
      <c r="E107" s="3"/>
      <c r="F107" s="3"/>
      <c r="G107" s="3"/>
      <c r="H107" s="3"/>
      <c r="I107" s="3"/>
      <c r="J107" s="8"/>
      <c r="K107" s="3"/>
    </row>
    <row r="108" spans="2:11" x14ac:dyDescent="0.3">
      <c r="B108" s="73"/>
      <c r="C108" s="73"/>
      <c r="D108" s="73"/>
      <c r="E108" s="73"/>
      <c r="F108" s="73"/>
      <c r="G108" s="73"/>
      <c r="H108" s="73"/>
      <c r="I108" s="73"/>
      <c r="J108" s="74"/>
      <c r="K108" s="73"/>
    </row>
    <row r="109" spans="2:11" x14ac:dyDescent="0.3">
      <c r="B109" s="3"/>
      <c r="C109" s="3"/>
      <c r="D109" s="3"/>
      <c r="E109" s="3"/>
      <c r="F109" s="3"/>
      <c r="G109" s="3"/>
      <c r="H109" s="3"/>
      <c r="I109" s="3"/>
      <c r="J109" s="8"/>
      <c r="K109" s="3"/>
    </row>
    <row r="110" spans="2:11" x14ac:dyDescent="0.3">
      <c r="B110" s="73"/>
      <c r="C110" s="73"/>
      <c r="D110" s="73"/>
      <c r="E110" s="73"/>
      <c r="F110" s="73"/>
      <c r="G110" s="73"/>
      <c r="H110" s="73"/>
      <c r="I110" s="73"/>
      <c r="J110" s="74"/>
      <c r="K110" s="73"/>
    </row>
    <row r="111" spans="2:11" x14ac:dyDescent="0.3">
      <c r="B111" s="3"/>
      <c r="C111" s="3"/>
      <c r="D111" s="3"/>
      <c r="E111" s="3"/>
      <c r="F111" s="3"/>
      <c r="G111" s="3"/>
      <c r="H111" s="3"/>
      <c r="I111" s="3"/>
      <c r="J111" s="8"/>
      <c r="K111" s="3"/>
    </row>
    <row r="112" spans="2:11" x14ac:dyDescent="0.3">
      <c r="B112" s="73"/>
      <c r="C112" s="73"/>
      <c r="D112" s="73"/>
      <c r="E112" s="73"/>
      <c r="F112" s="73"/>
      <c r="G112" s="73"/>
      <c r="H112" s="73"/>
      <c r="I112" s="73"/>
      <c r="J112" s="74"/>
      <c r="K112" s="73"/>
    </row>
    <row r="113" spans="2:11" x14ac:dyDescent="0.3">
      <c r="B113" s="3"/>
      <c r="C113" s="3"/>
      <c r="D113" s="3"/>
      <c r="E113" s="3"/>
      <c r="F113" s="3"/>
      <c r="G113" s="3"/>
      <c r="H113" s="3"/>
      <c r="I113" s="3"/>
      <c r="J113" s="8"/>
      <c r="K113" s="3"/>
    </row>
    <row r="114" spans="2:11" x14ac:dyDescent="0.3">
      <c r="B114" s="73"/>
      <c r="C114" s="73"/>
      <c r="D114" s="73"/>
      <c r="E114" s="73"/>
      <c r="F114" s="73"/>
      <c r="G114" s="73"/>
      <c r="H114" s="73"/>
      <c r="I114" s="73"/>
      <c r="J114" s="74"/>
      <c r="K114" s="73"/>
    </row>
    <row r="115" spans="2:11" x14ac:dyDescent="0.3">
      <c r="B115" s="3"/>
      <c r="C115" s="3"/>
      <c r="D115" s="3"/>
      <c r="E115" s="3"/>
      <c r="F115" s="3"/>
      <c r="G115" s="3"/>
      <c r="H115" s="3"/>
      <c r="I115" s="3"/>
      <c r="J115" s="8"/>
      <c r="K115" s="3"/>
    </row>
    <row r="116" spans="2:11" x14ac:dyDescent="0.3">
      <c r="B116" s="73"/>
      <c r="C116" s="73"/>
      <c r="D116" s="73"/>
      <c r="E116" s="73"/>
      <c r="F116" s="73"/>
      <c r="G116" s="73"/>
      <c r="H116" s="73"/>
      <c r="I116" s="73"/>
      <c r="J116" s="74"/>
      <c r="K116" s="73"/>
    </row>
    <row r="117" spans="2:11" x14ac:dyDescent="0.3">
      <c r="B117" s="3"/>
      <c r="C117" s="3"/>
      <c r="D117" s="3"/>
      <c r="E117" s="3"/>
      <c r="F117" s="3"/>
      <c r="G117" s="3"/>
      <c r="H117" s="3"/>
      <c r="I117" s="3"/>
      <c r="J117" s="8"/>
      <c r="K117" s="3"/>
    </row>
    <row r="118" spans="2:11" x14ac:dyDescent="0.3">
      <c r="B118" s="73"/>
      <c r="C118" s="73"/>
      <c r="D118" s="73"/>
      <c r="E118" s="73"/>
      <c r="F118" s="73"/>
      <c r="G118" s="73"/>
      <c r="H118" s="73"/>
      <c r="I118" s="73"/>
      <c r="J118" s="74"/>
      <c r="K118" s="73"/>
    </row>
    <row r="119" spans="2:11" x14ac:dyDescent="0.3">
      <c r="B119" s="3"/>
      <c r="C119" s="3"/>
      <c r="D119" s="3"/>
      <c r="E119" s="3"/>
      <c r="F119" s="3"/>
      <c r="G119" s="3"/>
      <c r="H119" s="3"/>
      <c r="I119" s="3"/>
      <c r="J119" s="8"/>
      <c r="K119" s="3"/>
    </row>
    <row r="120" spans="2:11" x14ac:dyDescent="0.3">
      <c r="B120" s="73"/>
      <c r="C120" s="73"/>
      <c r="D120" s="73"/>
      <c r="E120" s="73"/>
      <c r="F120" s="73"/>
      <c r="G120" s="73"/>
      <c r="H120" s="73"/>
      <c r="I120" s="73"/>
      <c r="J120" s="74"/>
      <c r="K120" s="73"/>
    </row>
    <row r="121" spans="2:11" x14ac:dyDescent="0.3">
      <c r="B121" s="3"/>
      <c r="C121" s="3"/>
      <c r="D121" s="3"/>
      <c r="E121" s="3"/>
      <c r="F121" s="3"/>
      <c r="G121" s="3"/>
      <c r="H121" s="3"/>
      <c r="I121" s="3"/>
      <c r="J121" s="8"/>
      <c r="K121" s="3"/>
    </row>
    <row r="122" spans="2:11" x14ac:dyDescent="0.3">
      <c r="B122" s="73"/>
      <c r="C122" s="73"/>
      <c r="D122" s="73"/>
      <c r="E122" s="73"/>
      <c r="F122" s="73"/>
      <c r="G122" s="73"/>
      <c r="H122" s="73"/>
      <c r="I122" s="73"/>
      <c r="J122" s="74"/>
      <c r="K122" s="73"/>
    </row>
    <row r="123" spans="2:11" x14ac:dyDescent="0.3">
      <c r="B123" s="3"/>
      <c r="C123" s="3"/>
      <c r="D123" s="3"/>
      <c r="E123" s="3"/>
      <c r="F123" s="3"/>
      <c r="G123" s="3"/>
      <c r="H123" s="3"/>
      <c r="I123" s="3"/>
      <c r="J123" s="8"/>
      <c r="K123" s="3"/>
    </row>
    <row r="124" spans="2:11" x14ac:dyDescent="0.3">
      <c r="B124" s="73"/>
      <c r="C124" s="73"/>
      <c r="D124" s="73"/>
      <c r="E124" s="73"/>
      <c r="F124" s="73"/>
      <c r="G124" s="73"/>
      <c r="H124" s="73"/>
      <c r="I124" s="73"/>
      <c r="J124" s="74"/>
      <c r="K124" s="73"/>
    </row>
    <row r="125" spans="2:11" x14ac:dyDescent="0.3">
      <c r="B125" s="3"/>
      <c r="C125" s="3"/>
      <c r="D125" s="3"/>
      <c r="E125" s="3"/>
      <c r="F125" s="3"/>
      <c r="G125" s="3"/>
      <c r="H125" s="3"/>
      <c r="I125" s="3"/>
      <c r="J125" s="8"/>
      <c r="K125" s="3"/>
    </row>
    <row r="126" spans="2:11" x14ac:dyDescent="0.3">
      <c r="B126" s="73"/>
      <c r="C126" s="73"/>
      <c r="D126" s="73"/>
      <c r="E126" s="73"/>
      <c r="F126" s="73"/>
      <c r="G126" s="73"/>
      <c r="H126" s="73"/>
      <c r="I126" s="73"/>
      <c r="J126" s="74"/>
      <c r="K126" s="73"/>
    </row>
    <row r="127" spans="2:11" x14ac:dyDescent="0.3">
      <c r="B127" s="3"/>
      <c r="C127" s="3"/>
      <c r="D127" s="3"/>
      <c r="E127" s="3"/>
      <c r="F127" s="3"/>
      <c r="G127" s="3"/>
      <c r="H127" s="3"/>
      <c r="I127" s="3"/>
      <c r="J127" s="8"/>
      <c r="K127" s="3"/>
    </row>
    <row r="128" spans="2:11" x14ac:dyDescent="0.3">
      <c r="B128" s="73"/>
      <c r="C128" s="73"/>
      <c r="D128" s="73"/>
      <c r="E128" s="73"/>
      <c r="F128" s="73"/>
      <c r="G128" s="73"/>
      <c r="H128" s="73"/>
      <c r="I128" s="73"/>
      <c r="J128" s="74"/>
      <c r="K128" s="73"/>
    </row>
    <row r="129" spans="2:11" x14ac:dyDescent="0.3">
      <c r="B129" s="3"/>
      <c r="C129" s="3"/>
      <c r="D129" s="3"/>
      <c r="E129" s="3"/>
      <c r="F129" s="3"/>
      <c r="G129" s="3"/>
      <c r="H129" s="3"/>
      <c r="I129" s="3"/>
      <c r="J129" s="8"/>
      <c r="K129" s="3"/>
    </row>
    <row r="130" spans="2:11" x14ac:dyDescent="0.3">
      <c r="B130" s="73"/>
      <c r="C130" s="73"/>
      <c r="D130" s="73"/>
      <c r="E130" s="73"/>
      <c r="F130" s="73"/>
      <c r="G130" s="73"/>
      <c r="H130" s="73"/>
      <c r="I130" s="73"/>
      <c r="J130" s="74"/>
      <c r="K130" s="73"/>
    </row>
    <row r="131" spans="2:11" x14ac:dyDescent="0.3">
      <c r="B131" s="3"/>
      <c r="C131" s="3"/>
      <c r="D131" s="3"/>
      <c r="E131" s="3"/>
      <c r="F131" s="3"/>
      <c r="G131" s="3"/>
      <c r="H131" s="3"/>
      <c r="I131" s="3"/>
      <c r="J131" s="8"/>
      <c r="K131" s="3"/>
    </row>
    <row r="132" spans="2:11" x14ac:dyDescent="0.3">
      <c r="B132" s="73"/>
      <c r="C132" s="73"/>
      <c r="D132" s="73"/>
      <c r="E132" s="73"/>
      <c r="F132" s="73"/>
      <c r="G132" s="73"/>
      <c r="H132" s="73"/>
      <c r="I132" s="73"/>
      <c r="J132" s="74"/>
      <c r="K132" s="73"/>
    </row>
    <row r="133" spans="2:11" x14ac:dyDescent="0.3">
      <c r="B133" s="3"/>
      <c r="C133" s="3"/>
      <c r="D133" s="3"/>
      <c r="E133" s="3"/>
      <c r="F133" s="3"/>
      <c r="G133" s="3"/>
      <c r="H133" s="3"/>
      <c r="I133" s="3"/>
      <c r="J133" s="8"/>
      <c r="K133" s="3"/>
    </row>
    <row r="134" spans="2:11" x14ac:dyDescent="0.3">
      <c r="B134" s="73"/>
      <c r="C134" s="73"/>
      <c r="D134" s="73"/>
      <c r="E134" s="73"/>
      <c r="F134" s="73"/>
      <c r="G134" s="73"/>
      <c r="H134" s="73"/>
      <c r="I134" s="73"/>
      <c r="J134" s="74"/>
      <c r="K134" s="73"/>
    </row>
    <row r="135" spans="2:11" x14ac:dyDescent="0.3">
      <c r="B135" s="3"/>
      <c r="C135" s="3"/>
      <c r="D135" s="3"/>
      <c r="E135" s="3"/>
      <c r="F135" s="3"/>
      <c r="G135" s="3"/>
      <c r="H135" s="3"/>
      <c r="I135" s="3"/>
      <c r="J135" s="8"/>
      <c r="K135" s="3"/>
    </row>
    <row r="136" spans="2:11" x14ac:dyDescent="0.3">
      <c r="B136" s="73"/>
      <c r="C136" s="73"/>
      <c r="D136" s="73"/>
      <c r="E136" s="73"/>
      <c r="F136" s="73"/>
      <c r="G136" s="73"/>
      <c r="H136" s="73"/>
      <c r="I136" s="73"/>
      <c r="J136" s="74"/>
      <c r="K136" s="73"/>
    </row>
    <row r="137" spans="2:11" x14ac:dyDescent="0.3">
      <c r="B137" s="3"/>
      <c r="C137" s="3"/>
      <c r="D137" s="3"/>
      <c r="E137" s="3"/>
      <c r="F137" s="3"/>
      <c r="G137" s="3"/>
      <c r="H137" s="3"/>
      <c r="I137" s="3"/>
      <c r="J137" s="8"/>
      <c r="K137" s="3"/>
    </row>
    <row r="138" spans="2:11" x14ac:dyDescent="0.3">
      <c r="B138" s="73"/>
      <c r="C138" s="73"/>
      <c r="D138" s="73"/>
      <c r="E138" s="73"/>
      <c r="F138" s="73"/>
      <c r="G138" s="73"/>
      <c r="H138" s="73"/>
      <c r="I138" s="73"/>
      <c r="J138" s="74"/>
      <c r="K138" s="73"/>
    </row>
    <row r="139" spans="2:11" x14ac:dyDescent="0.3">
      <c r="B139" s="3"/>
      <c r="C139" s="3"/>
      <c r="D139" s="3"/>
      <c r="E139" s="3"/>
      <c r="F139" s="3"/>
      <c r="G139" s="3"/>
      <c r="H139" s="3"/>
      <c r="I139" s="3"/>
      <c r="J139" s="8"/>
      <c r="K139" s="3"/>
    </row>
    <row r="140" spans="2:11" x14ac:dyDescent="0.3">
      <c r="B140" s="73"/>
      <c r="C140" s="73"/>
      <c r="D140" s="73"/>
      <c r="E140" s="73"/>
      <c r="F140" s="73"/>
      <c r="G140" s="73"/>
      <c r="H140" s="73"/>
      <c r="I140" s="73"/>
      <c r="J140" s="74"/>
      <c r="K140" s="73"/>
    </row>
    <row r="141" spans="2:11" x14ac:dyDescent="0.3">
      <c r="B141" s="3"/>
      <c r="C141" s="3"/>
      <c r="D141" s="3"/>
      <c r="E141" s="3"/>
      <c r="F141" s="3"/>
      <c r="G141" s="3"/>
      <c r="H141" s="3"/>
      <c r="I141" s="3"/>
      <c r="J141" s="8"/>
      <c r="K141" s="3"/>
    </row>
    <row r="142" spans="2:11" x14ac:dyDescent="0.3">
      <c r="B142" s="73"/>
      <c r="C142" s="73"/>
      <c r="D142" s="73"/>
      <c r="E142" s="73"/>
      <c r="F142" s="73"/>
      <c r="G142" s="73"/>
      <c r="H142" s="73"/>
      <c r="I142" s="73"/>
      <c r="J142" s="74"/>
      <c r="K142" s="73"/>
    </row>
    <row r="143" spans="2:11" x14ac:dyDescent="0.3">
      <c r="B143" s="3"/>
      <c r="C143" s="3"/>
      <c r="D143" s="3"/>
      <c r="E143" s="3"/>
      <c r="F143" s="3"/>
      <c r="G143" s="3"/>
      <c r="H143" s="3"/>
      <c r="I143" s="3"/>
      <c r="J143" s="8"/>
      <c r="K143" s="3"/>
    </row>
    <row r="144" spans="2:11" x14ac:dyDescent="0.3">
      <c r="B144" s="73"/>
      <c r="C144" s="73"/>
      <c r="D144" s="73"/>
      <c r="E144" s="73"/>
      <c r="F144" s="73"/>
      <c r="G144" s="73"/>
      <c r="H144" s="73"/>
      <c r="I144" s="73"/>
      <c r="J144" s="74"/>
      <c r="K144" s="73"/>
    </row>
    <row r="145" spans="2:11" x14ac:dyDescent="0.3">
      <c r="B145" s="3"/>
      <c r="C145" s="3"/>
      <c r="D145" s="3"/>
      <c r="E145" s="3"/>
      <c r="F145" s="3"/>
      <c r="G145" s="3"/>
      <c r="H145" s="3"/>
      <c r="I145" s="3"/>
      <c r="J145" s="8"/>
      <c r="K145" s="3"/>
    </row>
    <row r="146" spans="2:11" x14ac:dyDescent="0.3">
      <c r="B146" s="73"/>
      <c r="C146" s="73"/>
      <c r="D146" s="73"/>
      <c r="E146" s="73"/>
      <c r="F146" s="73"/>
      <c r="G146" s="73"/>
      <c r="H146" s="73"/>
      <c r="I146" s="73"/>
      <c r="J146" s="74"/>
      <c r="K146" s="73"/>
    </row>
    <row r="147" spans="2:11" x14ac:dyDescent="0.3">
      <c r="B147" s="3"/>
      <c r="C147" s="3"/>
      <c r="D147" s="3"/>
      <c r="E147" s="3"/>
      <c r="F147" s="3"/>
      <c r="G147" s="3"/>
      <c r="H147" s="3"/>
      <c r="I147" s="3"/>
      <c r="J147" s="8"/>
      <c r="K147" s="3"/>
    </row>
    <row r="148" spans="2:11" x14ac:dyDescent="0.3">
      <c r="B148" s="73"/>
      <c r="C148" s="73"/>
      <c r="D148" s="73"/>
      <c r="E148" s="73"/>
      <c r="F148" s="73"/>
      <c r="G148" s="73"/>
      <c r="H148" s="73"/>
      <c r="I148" s="73"/>
      <c r="J148" s="74"/>
      <c r="K148" s="73"/>
    </row>
    <row r="149" spans="2:11" x14ac:dyDescent="0.3">
      <c r="B149" s="3"/>
      <c r="C149" s="3"/>
      <c r="D149" s="3"/>
      <c r="E149" s="3"/>
      <c r="F149" s="3"/>
      <c r="G149" s="3"/>
      <c r="H149" s="3"/>
      <c r="I149" s="3"/>
      <c r="J149" s="8"/>
      <c r="K149" s="3"/>
    </row>
    <row r="150" spans="2:11" x14ac:dyDescent="0.3">
      <c r="B150" s="73"/>
      <c r="C150" s="73"/>
      <c r="D150" s="73"/>
      <c r="E150" s="73"/>
      <c r="F150" s="73"/>
      <c r="G150" s="73"/>
      <c r="H150" s="73"/>
      <c r="I150" s="73"/>
      <c r="J150" s="74"/>
      <c r="K150" s="73"/>
    </row>
    <row r="151" spans="2:11" x14ac:dyDescent="0.3">
      <c r="B151" s="3"/>
      <c r="C151" s="3"/>
      <c r="D151" s="3"/>
      <c r="E151" s="3"/>
      <c r="F151" s="3"/>
      <c r="G151" s="3"/>
      <c r="H151" s="3"/>
      <c r="I151" s="3"/>
      <c r="J151" s="8"/>
      <c r="K151" s="3"/>
    </row>
    <row r="152" spans="2:11" x14ac:dyDescent="0.3">
      <c r="B152" s="73"/>
      <c r="C152" s="73"/>
      <c r="D152" s="73"/>
      <c r="E152" s="73"/>
      <c r="F152" s="73"/>
      <c r="G152" s="73"/>
      <c r="H152" s="73"/>
      <c r="I152" s="73"/>
      <c r="J152" s="74"/>
      <c r="K152" s="73"/>
    </row>
    <row r="153" spans="2:11" x14ac:dyDescent="0.3">
      <c r="B153" s="3"/>
      <c r="C153" s="3"/>
      <c r="D153" s="3"/>
      <c r="E153" s="3"/>
      <c r="F153" s="3"/>
      <c r="G153" s="3"/>
      <c r="H153" s="3"/>
      <c r="I153" s="3"/>
      <c r="J153" s="8"/>
      <c r="K153" s="3"/>
    </row>
    <row r="154" spans="2:11" x14ac:dyDescent="0.3">
      <c r="B154" s="73"/>
      <c r="C154" s="73"/>
      <c r="D154" s="73"/>
      <c r="E154" s="73"/>
      <c r="F154" s="73"/>
      <c r="G154" s="73"/>
      <c r="H154" s="73"/>
      <c r="I154" s="73"/>
      <c r="J154" s="74"/>
      <c r="K154" s="73"/>
    </row>
    <row r="155" spans="2:11" x14ac:dyDescent="0.3">
      <c r="B155" s="3"/>
      <c r="C155" s="3"/>
      <c r="D155" s="3"/>
      <c r="E155" s="3"/>
      <c r="F155" s="3"/>
      <c r="G155" s="3"/>
      <c r="H155" s="3"/>
      <c r="I155" s="3"/>
      <c r="J155" s="8"/>
      <c r="K155" s="3"/>
    </row>
    <row r="156" spans="2:11" x14ac:dyDescent="0.3">
      <c r="B156" s="73"/>
      <c r="C156" s="73"/>
      <c r="D156" s="73"/>
      <c r="E156" s="73"/>
      <c r="F156" s="73"/>
      <c r="G156" s="73"/>
      <c r="H156" s="73"/>
      <c r="I156" s="73"/>
      <c r="J156" s="74"/>
      <c r="K156" s="73"/>
    </row>
    <row r="157" spans="2:11" x14ac:dyDescent="0.3">
      <c r="B157" s="3"/>
      <c r="C157" s="3"/>
      <c r="D157" s="3"/>
      <c r="E157" s="3"/>
      <c r="F157" s="3"/>
      <c r="G157" s="3"/>
      <c r="H157" s="3"/>
      <c r="I157" s="3"/>
      <c r="J157" s="8"/>
      <c r="K157" s="3"/>
    </row>
    <row r="158" spans="2:11" x14ac:dyDescent="0.3">
      <c r="B158" s="73"/>
      <c r="C158" s="73"/>
      <c r="D158" s="73"/>
      <c r="E158" s="73"/>
      <c r="F158" s="73"/>
      <c r="G158" s="73"/>
      <c r="H158" s="73"/>
      <c r="I158" s="73"/>
      <c r="J158" s="74"/>
      <c r="K158" s="73"/>
    </row>
    <row r="159" spans="2:11" x14ac:dyDescent="0.3">
      <c r="B159" s="3"/>
      <c r="C159" s="3"/>
      <c r="D159" s="3"/>
      <c r="E159" s="3"/>
      <c r="F159" s="3"/>
      <c r="G159" s="3"/>
      <c r="H159" s="3"/>
      <c r="I159" s="3"/>
      <c r="J159" s="8"/>
      <c r="K159" s="3"/>
    </row>
    <row r="160" spans="2:11" x14ac:dyDescent="0.3">
      <c r="B160" s="73"/>
      <c r="C160" s="73"/>
      <c r="D160" s="73"/>
      <c r="E160" s="73"/>
      <c r="F160" s="73"/>
      <c r="G160" s="73"/>
      <c r="H160" s="73"/>
      <c r="I160" s="73"/>
      <c r="J160" s="74"/>
      <c r="K160" s="73"/>
    </row>
    <row r="161" spans="2:11" x14ac:dyDescent="0.3">
      <c r="B161" s="3"/>
      <c r="C161" s="3"/>
      <c r="D161" s="3"/>
      <c r="E161" s="3"/>
      <c r="F161" s="3"/>
      <c r="G161" s="3"/>
      <c r="H161" s="3"/>
      <c r="I161" s="3"/>
      <c r="J161" s="8"/>
      <c r="K161" s="3"/>
    </row>
    <row r="162" spans="2:11" x14ac:dyDescent="0.3">
      <c r="B162" s="73"/>
      <c r="C162" s="73"/>
      <c r="D162" s="73"/>
      <c r="E162" s="73"/>
      <c r="F162" s="73"/>
      <c r="G162" s="73"/>
      <c r="H162" s="73"/>
      <c r="I162" s="73"/>
      <c r="J162" s="74"/>
      <c r="K162" s="73"/>
    </row>
    <row r="163" spans="2:11" x14ac:dyDescent="0.3">
      <c r="B163" s="3"/>
      <c r="C163" s="3"/>
      <c r="D163" s="3"/>
      <c r="E163" s="3"/>
      <c r="F163" s="3"/>
      <c r="G163" s="3"/>
      <c r="H163" s="3"/>
      <c r="I163" s="3"/>
      <c r="J163" s="8"/>
      <c r="K163" s="3"/>
    </row>
    <row r="164" spans="2:11" x14ac:dyDescent="0.3">
      <c r="B164" s="73"/>
      <c r="C164" s="73"/>
      <c r="D164" s="73"/>
      <c r="E164" s="73"/>
      <c r="F164" s="73"/>
      <c r="G164" s="73"/>
      <c r="H164" s="73"/>
      <c r="I164" s="73"/>
      <c r="J164" s="74"/>
      <c r="K164" s="73"/>
    </row>
    <row r="165" spans="2:11" x14ac:dyDescent="0.3">
      <c r="B165" s="3"/>
      <c r="C165" s="3"/>
      <c r="D165" s="3"/>
      <c r="E165" s="3"/>
      <c r="F165" s="3"/>
      <c r="G165" s="3"/>
      <c r="H165" s="3"/>
      <c r="I165" s="3"/>
      <c r="J165" s="8"/>
      <c r="K165" s="3"/>
    </row>
    <row r="166" spans="2:11" x14ac:dyDescent="0.3">
      <c r="B166" s="73"/>
      <c r="C166" s="73"/>
      <c r="D166" s="73"/>
      <c r="E166" s="73"/>
      <c r="F166" s="73"/>
      <c r="G166" s="73"/>
      <c r="H166" s="73"/>
      <c r="I166" s="73"/>
      <c r="J166" s="74"/>
      <c r="K166" s="73"/>
    </row>
    <row r="167" spans="2:11" x14ac:dyDescent="0.3">
      <c r="B167" s="3"/>
      <c r="C167" s="3"/>
      <c r="D167" s="3"/>
      <c r="E167" s="3"/>
      <c r="F167" s="3"/>
      <c r="G167" s="3"/>
      <c r="H167" s="3"/>
      <c r="I167" s="3"/>
      <c r="J167" s="8"/>
      <c r="K167" s="3"/>
    </row>
    <row r="168" spans="2:11" x14ac:dyDescent="0.3">
      <c r="B168" s="73"/>
      <c r="C168" s="73"/>
      <c r="D168" s="73"/>
      <c r="E168" s="73"/>
      <c r="F168" s="73"/>
      <c r="G168" s="73"/>
      <c r="H168" s="73"/>
      <c r="I168" s="73"/>
      <c r="J168" s="74"/>
      <c r="K168" s="73"/>
    </row>
    <row r="169" spans="2:11" x14ac:dyDescent="0.3">
      <c r="B169" s="3"/>
      <c r="C169" s="3"/>
      <c r="D169" s="3"/>
      <c r="E169" s="3"/>
      <c r="F169" s="3"/>
      <c r="G169" s="3"/>
      <c r="H169" s="3"/>
      <c r="I169" s="3"/>
      <c r="J169" s="8"/>
      <c r="K169" s="3"/>
    </row>
    <row r="170" spans="2:11" x14ac:dyDescent="0.3">
      <c r="B170" s="73"/>
      <c r="C170" s="73"/>
      <c r="D170" s="73"/>
      <c r="E170" s="73"/>
      <c r="F170" s="73"/>
      <c r="G170" s="73"/>
      <c r="H170" s="73"/>
      <c r="I170" s="73"/>
      <c r="J170" s="74"/>
      <c r="K170" s="73"/>
    </row>
    <row r="171" spans="2:11" x14ac:dyDescent="0.3">
      <c r="B171" s="3"/>
      <c r="C171" s="3"/>
      <c r="D171" s="3"/>
      <c r="E171" s="3"/>
      <c r="F171" s="3"/>
      <c r="G171" s="3"/>
      <c r="H171" s="3"/>
      <c r="I171" s="3"/>
      <c r="J171" s="8"/>
      <c r="K171" s="3"/>
    </row>
    <row r="172" spans="2:11" x14ac:dyDescent="0.3">
      <c r="B172" s="73"/>
      <c r="C172" s="73"/>
      <c r="D172" s="73"/>
      <c r="E172" s="73"/>
      <c r="F172" s="73"/>
      <c r="G172" s="73"/>
      <c r="H172" s="73"/>
      <c r="I172" s="73"/>
      <c r="J172" s="74"/>
      <c r="K172" s="73"/>
    </row>
    <row r="173" spans="2:11" x14ac:dyDescent="0.3">
      <c r="B173" s="3"/>
      <c r="C173" s="3"/>
      <c r="D173" s="3"/>
      <c r="E173" s="3"/>
      <c r="F173" s="3"/>
      <c r="G173" s="3"/>
      <c r="H173" s="3"/>
      <c r="I173" s="3"/>
      <c r="J173" s="8"/>
      <c r="K173" s="3"/>
    </row>
    <row r="174" spans="2:11" x14ac:dyDescent="0.3">
      <c r="B174" s="73"/>
      <c r="C174" s="73"/>
      <c r="D174" s="73"/>
      <c r="E174" s="73"/>
      <c r="F174" s="73"/>
      <c r="G174" s="73"/>
      <c r="H174" s="73"/>
      <c r="I174" s="73"/>
      <c r="J174" s="74"/>
      <c r="K174" s="73"/>
    </row>
    <row r="175" spans="2:11" x14ac:dyDescent="0.3">
      <c r="B175" s="3"/>
      <c r="C175" s="3"/>
      <c r="D175" s="3"/>
      <c r="E175" s="3"/>
      <c r="F175" s="3"/>
      <c r="G175" s="3"/>
      <c r="H175" s="3"/>
      <c r="I175" s="3"/>
      <c r="J175" s="8"/>
      <c r="K175" s="3"/>
    </row>
    <row r="176" spans="2:11" x14ac:dyDescent="0.3">
      <c r="B176" s="73"/>
      <c r="C176" s="73"/>
      <c r="D176" s="73"/>
      <c r="E176" s="73"/>
      <c r="F176" s="73"/>
      <c r="G176" s="73"/>
      <c r="H176" s="73"/>
      <c r="I176" s="73"/>
      <c r="J176" s="74"/>
      <c r="K176" s="73"/>
    </row>
    <row r="177" spans="2:11" x14ac:dyDescent="0.3">
      <c r="B177" s="3"/>
      <c r="C177" s="3"/>
      <c r="D177" s="3"/>
      <c r="E177" s="3"/>
      <c r="F177" s="3"/>
      <c r="G177" s="3"/>
      <c r="H177" s="3"/>
      <c r="I177" s="3"/>
      <c r="J177" s="8"/>
      <c r="K177" s="3"/>
    </row>
    <row r="178" spans="2:11" x14ac:dyDescent="0.3">
      <c r="B178" s="73"/>
      <c r="C178" s="73"/>
      <c r="D178" s="73"/>
      <c r="E178" s="73"/>
      <c r="F178" s="73"/>
      <c r="G178" s="73"/>
      <c r="H178" s="73"/>
      <c r="I178" s="73"/>
      <c r="J178" s="74"/>
      <c r="K178" s="73"/>
    </row>
    <row r="179" spans="2:11" x14ac:dyDescent="0.3">
      <c r="B179" s="3"/>
      <c r="C179" s="3"/>
      <c r="D179" s="3"/>
      <c r="E179" s="3"/>
      <c r="F179" s="3"/>
      <c r="G179" s="3"/>
      <c r="H179" s="3"/>
      <c r="I179" s="3"/>
      <c r="J179" s="8"/>
      <c r="K179" s="3"/>
    </row>
    <row r="180" spans="2:11" x14ac:dyDescent="0.3">
      <c r="B180" s="73"/>
      <c r="C180" s="73"/>
      <c r="D180" s="73"/>
      <c r="E180" s="73"/>
      <c r="F180" s="73"/>
      <c r="G180" s="73"/>
      <c r="H180" s="73"/>
      <c r="I180" s="73"/>
      <c r="J180" s="74"/>
      <c r="K180" s="73"/>
    </row>
    <row r="181" spans="2:11" x14ac:dyDescent="0.3">
      <c r="B181" s="3"/>
      <c r="C181" s="3"/>
      <c r="D181" s="3"/>
      <c r="E181" s="3"/>
      <c r="F181" s="3"/>
      <c r="G181" s="3"/>
      <c r="H181" s="3"/>
      <c r="I181" s="3"/>
      <c r="J181" s="8"/>
      <c r="K181" s="3"/>
    </row>
    <row r="182" spans="2:11" x14ac:dyDescent="0.3">
      <c r="B182" s="73"/>
      <c r="C182" s="73"/>
      <c r="D182" s="73"/>
      <c r="E182" s="73"/>
      <c r="F182" s="73"/>
      <c r="G182" s="73"/>
      <c r="H182" s="73"/>
      <c r="I182" s="73"/>
      <c r="J182" s="74"/>
      <c r="K182" s="73"/>
    </row>
    <row r="183" spans="2:11" x14ac:dyDescent="0.3">
      <c r="B183" s="3"/>
      <c r="C183" s="3"/>
      <c r="D183" s="3"/>
      <c r="E183" s="3"/>
      <c r="F183" s="3"/>
      <c r="G183" s="3"/>
      <c r="H183" s="3"/>
      <c r="I183" s="3"/>
      <c r="J183" s="8"/>
      <c r="K183" s="3"/>
    </row>
    <row r="184" spans="2:11" x14ac:dyDescent="0.3">
      <c r="B184" s="73"/>
      <c r="C184" s="73"/>
      <c r="D184" s="73"/>
      <c r="E184" s="73"/>
      <c r="F184" s="73"/>
      <c r="G184" s="73"/>
      <c r="H184" s="73"/>
      <c r="I184" s="73"/>
      <c r="J184" s="74"/>
      <c r="K184" s="73"/>
    </row>
    <row r="185" spans="2:11" x14ac:dyDescent="0.3">
      <c r="B185" s="3"/>
      <c r="C185" s="3"/>
      <c r="D185" s="3"/>
      <c r="E185" s="3"/>
      <c r="F185" s="3"/>
      <c r="G185" s="3"/>
      <c r="H185" s="3"/>
      <c r="I185" s="3"/>
      <c r="J185" s="8"/>
      <c r="K185" s="3"/>
    </row>
    <row r="186" spans="2:11" x14ac:dyDescent="0.3">
      <c r="B186" s="73"/>
      <c r="C186" s="73"/>
      <c r="D186" s="73"/>
      <c r="E186" s="73"/>
      <c r="F186" s="73"/>
      <c r="G186" s="73"/>
      <c r="H186" s="73"/>
      <c r="I186" s="73"/>
      <c r="J186" s="74"/>
      <c r="K186" s="73"/>
    </row>
    <row r="187" spans="2:11" x14ac:dyDescent="0.3">
      <c r="B187" s="3"/>
      <c r="C187" s="3"/>
      <c r="D187" s="3"/>
      <c r="E187" s="3"/>
      <c r="F187" s="3"/>
      <c r="G187" s="3"/>
      <c r="H187" s="3"/>
      <c r="I187" s="3"/>
      <c r="J187" s="8"/>
      <c r="K187" s="3"/>
    </row>
    <row r="188" spans="2:11" x14ac:dyDescent="0.3">
      <c r="B188" s="73"/>
      <c r="C188" s="73"/>
      <c r="D188" s="73"/>
      <c r="E188" s="73"/>
      <c r="F188" s="73"/>
      <c r="G188" s="73"/>
      <c r="H188" s="73"/>
      <c r="I188" s="73"/>
      <c r="J188" s="74"/>
      <c r="K188" s="73"/>
    </row>
    <row r="189" spans="2:11" x14ac:dyDescent="0.3">
      <c r="B189" s="3"/>
      <c r="C189" s="3"/>
      <c r="D189" s="3"/>
      <c r="E189" s="3"/>
      <c r="F189" s="3"/>
      <c r="G189" s="3"/>
      <c r="H189" s="3"/>
      <c r="I189" s="3"/>
      <c r="J189" s="8"/>
      <c r="K189" s="3"/>
    </row>
    <row r="190" spans="2:11" x14ac:dyDescent="0.3">
      <c r="B190" s="73"/>
      <c r="C190" s="73"/>
      <c r="D190" s="73"/>
      <c r="E190" s="73"/>
      <c r="F190" s="73"/>
      <c r="G190" s="73"/>
      <c r="H190" s="73"/>
      <c r="I190" s="73"/>
      <c r="J190" s="74"/>
      <c r="K190" s="73"/>
    </row>
    <row r="191" spans="2:11" x14ac:dyDescent="0.3">
      <c r="B191" s="3"/>
      <c r="C191" s="3"/>
      <c r="D191" s="3"/>
      <c r="E191" s="3"/>
      <c r="F191" s="3"/>
      <c r="G191" s="3"/>
      <c r="H191" s="3"/>
      <c r="I191" s="3"/>
      <c r="J191" s="8"/>
      <c r="K191" s="3"/>
    </row>
    <row r="192" spans="2:11" x14ac:dyDescent="0.3">
      <c r="B192" s="73"/>
      <c r="C192" s="73"/>
      <c r="D192" s="73"/>
      <c r="E192" s="73"/>
      <c r="F192" s="73"/>
      <c r="G192" s="73"/>
      <c r="H192" s="73"/>
      <c r="I192" s="73"/>
      <c r="J192" s="74"/>
      <c r="K192" s="73"/>
    </row>
    <row r="193" spans="2:11" x14ac:dyDescent="0.3">
      <c r="B193" s="3"/>
      <c r="C193" s="3"/>
      <c r="D193" s="3"/>
      <c r="E193" s="3"/>
      <c r="F193" s="3"/>
      <c r="G193" s="3"/>
      <c r="H193" s="3"/>
      <c r="I193" s="3"/>
      <c r="J193" s="8"/>
      <c r="K193" s="3"/>
    </row>
    <row r="194" spans="2:11" x14ac:dyDescent="0.3">
      <c r="B194" s="73"/>
      <c r="C194" s="73"/>
      <c r="D194" s="73"/>
      <c r="E194" s="73"/>
      <c r="F194" s="73"/>
      <c r="G194" s="73"/>
      <c r="H194" s="73"/>
      <c r="I194" s="73"/>
      <c r="J194" s="74"/>
      <c r="K194" s="73"/>
    </row>
    <row r="195" spans="2:11" x14ac:dyDescent="0.3">
      <c r="B195" s="3"/>
      <c r="C195" s="3"/>
      <c r="D195" s="3"/>
      <c r="E195" s="3"/>
      <c r="F195" s="3"/>
      <c r="G195" s="3"/>
      <c r="H195" s="3"/>
      <c r="I195" s="3"/>
      <c r="J195" s="8"/>
      <c r="K195" s="3"/>
    </row>
    <row r="196" spans="2:11" x14ac:dyDescent="0.3">
      <c r="B196" s="73"/>
      <c r="C196" s="73"/>
      <c r="D196" s="73"/>
      <c r="E196" s="73"/>
      <c r="F196" s="73"/>
      <c r="G196" s="73"/>
      <c r="H196" s="73"/>
      <c r="I196" s="73"/>
      <c r="J196" s="74"/>
      <c r="K196" s="73"/>
    </row>
    <row r="197" spans="2:11" x14ac:dyDescent="0.3">
      <c r="B197" s="3"/>
      <c r="C197" s="3"/>
      <c r="D197" s="3"/>
      <c r="E197" s="3"/>
      <c r="F197" s="3"/>
      <c r="G197" s="3"/>
      <c r="H197" s="3"/>
      <c r="I197" s="3"/>
      <c r="J197" s="8"/>
      <c r="K197" s="3"/>
    </row>
    <row r="198" spans="2:11" x14ac:dyDescent="0.3">
      <c r="B198" s="73"/>
      <c r="C198" s="73"/>
      <c r="D198" s="73"/>
      <c r="E198" s="73"/>
      <c r="F198" s="73"/>
      <c r="G198" s="73"/>
      <c r="H198" s="73"/>
      <c r="I198" s="73"/>
      <c r="J198" s="74"/>
      <c r="K198" s="73"/>
    </row>
    <row r="199" spans="2:11" x14ac:dyDescent="0.3">
      <c r="B199" s="3"/>
      <c r="C199" s="3"/>
      <c r="D199" s="3"/>
      <c r="E199" s="3"/>
      <c r="F199" s="3"/>
      <c r="G199" s="3"/>
      <c r="H199" s="3"/>
      <c r="I199" s="3"/>
      <c r="J199" s="8"/>
      <c r="K199" s="3"/>
    </row>
    <row r="200" spans="2:11" x14ac:dyDescent="0.3">
      <c r="B200" s="73"/>
      <c r="C200" s="73"/>
      <c r="D200" s="73"/>
      <c r="E200" s="73"/>
      <c r="F200" s="73"/>
      <c r="G200" s="73"/>
      <c r="H200" s="73"/>
      <c r="I200" s="73"/>
      <c r="J200" s="74"/>
      <c r="K200" s="73"/>
    </row>
    <row r="201" spans="2:11" x14ac:dyDescent="0.3">
      <c r="B201" s="3"/>
      <c r="C201" s="3"/>
      <c r="D201" s="3"/>
      <c r="E201" s="3"/>
      <c r="F201" s="3"/>
      <c r="G201" s="3"/>
      <c r="H201" s="3"/>
      <c r="I201" s="3"/>
      <c r="J201" s="8"/>
      <c r="K201" s="3"/>
    </row>
    <row r="202" spans="2:11" x14ac:dyDescent="0.3">
      <c r="B202" s="73"/>
      <c r="C202" s="73"/>
      <c r="D202" s="73"/>
      <c r="E202" s="73"/>
      <c r="F202" s="73"/>
      <c r="G202" s="73"/>
      <c r="H202" s="73"/>
      <c r="I202" s="73"/>
      <c r="J202" s="74"/>
      <c r="K202" s="73"/>
    </row>
    <row r="203" spans="2:11" x14ac:dyDescent="0.3">
      <c r="B203" s="3"/>
      <c r="C203" s="3"/>
      <c r="D203" s="3"/>
      <c r="E203" s="3"/>
      <c r="F203" s="3"/>
      <c r="G203" s="3"/>
      <c r="H203" s="3"/>
      <c r="I203" s="3"/>
      <c r="J203" s="8"/>
      <c r="K203" s="3"/>
    </row>
    <row r="204" spans="2:11" x14ac:dyDescent="0.3">
      <c r="B204" s="73"/>
      <c r="C204" s="73"/>
      <c r="D204" s="73"/>
      <c r="E204" s="73"/>
      <c r="F204" s="73"/>
      <c r="G204" s="73"/>
      <c r="H204" s="73"/>
      <c r="I204" s="73"/>
      <c r="J204" s="74"/>
      <c r="K204" s="73"/>
    </row>
    <row r="205" spans="2:11" x14ac:dyDescent="0.3">
      <c r="B205" s="3"/>
      <c r="C205" s="3"/>
      <c r="D205" s="3"/>
      <c r="E205" s="3"/>
      <c r="F205" s="3"/>
      <c r="G205" s="3"/>
      <c r="H205" s="3"/>
      <c r="I205" s="3"/>
      <c r="J205" s="8"/>
      <c r="K205" s="3"/>
    </row>
    <row r="206" spans="2:11" x14ac:dyDescent="0.3">
      <c r="B206" s="73"/>
      <c r="C206" s="73"/>
      <c r="D206" s="73"/>
      <c r="E206" s="73"/>
      <c r="F206" s="73"/>
      <c r="G206" s="73"/>
      <c r="H206" s="73"/>
      <c r="I206" s="73"/>
      <c r="J206" s="74"/>
      <c r="K206" s="73"/>
    </row>
    <row r="207" spans="2:11" x14ac:dyDescent="0.3">
      <c r="B207" s="3"/>
      <c r="C207" s="3"/>
      <c r="D207" s="3"/>
      <c r="E207" s="3"/>
      <c r="F207" s="3"/>
      <c r="G207" s="3"/>
      <c r="H207" s="3"/>
      <c r="I207" s="3"/>
      <c r="J207" s="8"/>
      <c r="K207" s="3"/>
    </row>
    <row r="208" spans="2:11" x14ac:dyDescent="0.3">
      <c r="B208" s="73"/>
      <c r="C208" s="73"/>
      <c r="D208" s="73"/>
      <c r="E208" s="73"/>
      <c r="F208" s="73"/>
      <c r="G208" s="73"/>
      <c r="H208" s="73"/>
      <c r="I208" s="73"/>
      <c r="J208" s="74"/>
      <c r="K208" s="73"/>
    </row>
    <row r="209" spans="2:11" x14ac:dyDescent="0.3">
      <c r="B209" s="3"/>
      <c r="C209" s="3"/>
      <c r="D209" s="3"/>
      <c r="E209" s="3"/>
      <c r="F209" s="3"/>
      <c r="G209" s="3"/>
      <c r="H209" s="3"/>
      <c r="I209" s="3"/>
      <c r="J209" s="8"/>
      <c r="K209" s="3"/>
    </row>
    <row r="210" spans="2:11" x14ac:dyDescent="0.3">
      <c r="B210" s="73"/>
      <c r="C210" s="73"/>
      <c r="D210" s="73"/>
      <c r="E210" s="73"/>
      <c r="F210" s="73"/>
      <c r="G210" s="73"/>
      <c r="H210" s="73"/>
      <c r="I210" s="73"/>
      <c r="J210" s="74"/>
      <c r="K210" s="73"/>
    </row>
    <row r="211" spans="2:11" x14ac:dyDescent="0.3">
      <c r="B211" s="3"/>
      <c r="C211" s="3"/>
      <c r="D211" s="3"/>
      <c r="E211" s="3"/>
      <c r="F211" s="3"/>
      <c r="G211" s="3"/>
      <c r="H211" s="3"/>
      <c r="I211" s="3"/>
      <c r="J211" s="8"/>
      <c r="K211" s="3"/>
    </row>
    <row r="212" spans="2:11" x14ac:dyDescent="0.3">
      <c r="B212" s="73"/>
      <c r="C212" s="73"/>
      <c r="D212" s="73"/>
      <c r="E212" s="73"/>
      <c r="F212" s="73"/>
      <c r="G212" s="73"/>
      <c r="H212" s="73"/>
      <c r="I212" s="73"/>
      <c r="J212" s="74"/>
      <c r="K212" s="73"/>
    </row>
    <row r="213" spans="2:11" x14ac:dyDescent="0.3">
      <c r="B213" s="3"/>
      <c r="C213" s="3"/>
      <c r="D213" s="3"/>
      <c r="E213" s="3"/>
      <c r="F213" s="3"/>
      <c r="G213" s="3"/>
      <c r="H213" s="3"/>
      <c r="I213" s="3"/>
      <c r="J213" s="8"/>
      <c r="K213" s="3"/>
    </row>
    <row r="214" spans="2:11" x14ac:dyDescent="0.3">
      <c r="B214" s="73"/>
      <c r="C214" s="73"/>
      <c r="D214" s="73"/>
      <c r="E214" s="73"/>
      <c r="F214" s="73"/>
      <c r="G214" s="73"/>
      <c r="H214" s="73"/>
      <c r="I214" s="73"/>
      <c r="J214" s="74"/>
      <c r="K214" s="73"/>
    </row>
    <row r="215" spans="2:11" x14ac:dyDescent="0.3">
      <c r="B215" s="3"/>
      <c r="C215" s="3"/>
      <c r="D215" s="3"/>
      <c r="E215" s="3"/>
      <c r="F215" s="3"/>
      <c r="G215" s="3"/>
      <c r="H215" s="3"/>
      <c r="I215" s="3"/>
      <c r="J215" s="8"/>
      <c r="K215" s="3"/>
    </row>
    <row r="216" spans="2:11" x14ac:dyDescent="0.3">
      <c r="B216" s="73"/>
      <c r="C216" s="73"/>
      <c r="D216" s="73"/>
      <c r="E216" s="73"/>
      <c r="F216" s="73"/>
      <c r="G216" s="73"/>
      <c r="H216" s="73"/>
      <c r="I216" s="73"/>
      <c r="J216" s="74"/>
      <c r="K216" s="73"/>
    </row>
    <row r="217" spans="2:11" x14ac:dyDescent="0.3">
      <c r="B217" s="3"/>
      <c r="C217" s="3"/>
      <c r="D217" s="3"/>
      <c r="E217" s="3"/>
      <c r="F217" s="3"/>
      <c r="G217" s="3"/>
      <c r="H217" s="3"/>
      <c r="I217" s="3"/>
      <c r="J217" s="8"/>
      <c r="K217" s="3"/>
    </row>
    <row r="218" spans="2:11" x14ac:dyDescent="0.3">
      <c r="B218" s="73"/>
      <c r="C218" s="73"/>
      <c r="D218" s="73"/>
      <c r="E218" s="73"/>
      <c r="F218" s="73"/>
      <c r="G218" s="73"/>
      <c r="H218" s="73"/>
      <c r="I218" s="73"/>
      <c r="J218" s="74"/>
      <c r="K218" s="73"/>
    </row>
    <row r="219" spans="2:11" x14ac:dyDescent="0.3">
      <c r="B219" s="3"/>
      <c r="C219" s="3"/>
      <c r="D219" s="3"/>
      <c r="E219" s="3"/>
      <c r="F219" s="3"/>
      <c r="G219" s="3"/>
      <c r="H219" s="3"/>
      <c r="I219" s="3"/>
      <c r="J219" s="8"/>
      <c r="K219" s="3"/>
    </row>
    <row r="220" spans="2:11" x14ac:dyDescent="0.3">
      <c r="B220" s="73"/>
      <c r="C220" s="73"/>
      <c r="D220" s="73"/>
      <c r="E220" s="73"/>
      <c r="F220" s="73"/>
      <c r="G220" s="73"/>
      <c r="H220" s="73"/>
      <c r="I220" s="73"/>
      <c r="J220" s="74"/>
      <c r="K220" s="73"/>
    </row>
    <row r="221" spans="2:11" x14ac:dyDescent="0.3">
      <c r="B221" s="3"/>
      <c r="C221" s="3"/>
      <c r="D221" s="3"/>
      <c r="E221" s="3"/>
      <c r="F221" s="3"/>
      <c r="G221" s="3"/>
      <c r="H221" s="3"/>
      <c r="I221" s="3"/>
      <c r="J221" s="8"/>
      <c r="K221" s="3"/>
    </row>
    <row r="222" spans="2:11" x14ac:dyDescent="0.3">
      <c r="B222" s="73"/>
      <c r="C222" s="73"/>
      <c r="D222" s="73"/>
      <c r="E222" s="73"/>
      <c r="F222" s="73"/>
      <c r="G222" s="73"/>
      <c r="H222" s="73"/>
      <c r="I222" s="73"/>
      <c r="J222" s="74"/>
      <c r="K222" s="73"/>
    </row>
    <row r="223" spans="2:11" x14ac:dyDescent="0.3">
      <c r="B223" s="3"/>
      <c r="C223" s="3"/>
      <c r="D223" s="3"/>
      <c r="E223" s="3"/>
      <c r="F223" s="3"/>
      <c r="G223" s="3"/>
      <c r="H223" s="3"/>
      <c r="I223" s="3"/>
      <c r="J223" s="8"/>
      <c r="K223" s="3"/>
    </row>
    <row r="224" spans="2:11" x14ac:dyDescent="0.3">
      <c r="B224" s="73"/>
      <c r="C224" s="73"/>
      <c r="D224" s="73"/>
      <c r="E224" s="73"/>
      <c r="F224" s="73"/>
      <c r="G224" s="73"/>
      <c r="H224" s="73"/>
      <c r="I224" s="73"/>
      <c r="J224" s="74"/>
      <c r="K224" s="73"/>
    </row>
    <row r="225" spans="2:11" x14ac:dyDescent="0.3">
      <c r="B225" s="3"/>
      <c r="C225" s="3"/>
      <c r="D225" s="3"/>
      <c r="E225" s="3"/>
      <c r="F225" s="3"/>
      <c r="G225" s="3"/>
      <c r="H225" s="3"/>
      <c r="I225" s="3"/>
      <c r="J225" s="8"/>
      <c r="K225" s="3"/>
    </row>
    <row r="226" spans="2:11" x14ac:dyDescent="0.3">
      <c r="B226" s="73"/>
      <c r="C226" s="73"/>
      <c r="D226" s="73"/>
      <c r="E226" s="73"/>
      <c r="F226" s="73"/>
      <c r="G226" s="73"/>
      <c r="H226" s="73"/>
      <c r="I226" s="73"/>
      <c r="J226" s="74"/>
      <c r="K226" s="73"/>
    </row>
    <row r="227" spans="2:11" x14ac:dyDescent="0.3">
      <c r="B227" s="3"/>
      <c r="C227" s="3"/>
      <c r="D227" s="3"/>
      <c r="E227" s="3"/>
      <c r="F227" s="3"/>
      <c r="G227" s="3"/>
      <c r="H227" s="3"/>
      <c r="I227" s="3"/>
      <c r="J227" s="8"/>
      <c r="K227" s="3"/>
    </row>
    <row r="228" spans="2:11" x14ac:dyDescent="0.3">
      <c r="B228" s="73"/>
      <c r="C228" s="73"/>
      <c r="D228" s="73"/>
      <c r="E228" s="73"/>
      <c r="F228" s="73"/>
      <c r="G228" s="73"/>
      <c r="H228" s="73"/>
      <c r="I228" s="73"/>
      <c r="J228" s="74"/>
      <c r="K228" s="73"/>
    </row>
    <row r="229" spans="2:11" x14ac:dyDescent="0.3">
      <c r="B229" s="3"/>
      <c r="C229" s="3"/>
      <c r="D229" s="3"/>
      <c r="E229" s="3"/>
      <c r="F229" s="3"/>
      <c r="G229" s="3"/>
      <c r="H229" s="3"/>
      <c r="I229" s="3"/>
      <c r="J229" s="8"/>
      <c r="K229" s="3"/>
    </row>
    <row r="230" spans="2:11" x14ac:dyDescent="0.3">
      <c r="B230" s="73"/>
      <c r="C230" s="73"/>
      <c r="D230" s="73"/>
      <c r="E230" s="73"/>
      <c r="F230" s="73"/>
      <c r="G230" s="73"/>
      <c r="H230" s="73"/>
      <c r="I230" s="73"/>
      <c r="J230" s="74"/>
      <c r="K230" s="73"/>
    </row>
    <row r="231" spans="2:11" x14ac:dyDescent="0.3">
      <c r="B231" s="3"/>
      <c r="C231" s="3"/>
      <c r="D231" s="3"/>
      <c r="E231" s="3"/>
      <c r="F231" s="3"/>
      <c r="G231" s="3"/>
      <c r="H231" s="3"/>
      <c r="I231" s="3"/>
      <c r="J231" s="8"/>
      <c r="K231" s="3"/>
    </row>
    <row r="232" spans="2:11" x14ac:dyDescent="0.3">
      <c r="B232" s="73"/>
      <c r="C232" s="73"/>
      <c r="D232" s="73"/>
      <c r="E232" s="73"/>
      <c r="F232" s="73"/>
      <c r="G232" s="73"/>
      <c r="H232" s="73"/>
      <c r="I232" s="73"/>
      <c r="J232" s="74"/>
      <c r="K232" s="73"/>
    </row>
    <row r="233" spans="2:11" x14ac:dyDescent="0.3">
      <c r="B233" s="3"/>
      <c r="C233" s="3"/>
      <c r="D233" s="3"/>
      <c r="E233" s="3"/>
      <c r="F233" s="3"/>
      <c r="G233" s="3"/>
      <c r="H233" s="3"/>
      <c r="I233" s="3"/>
      <c r="J233" s="8"/>
      <c r="K233" s="3"/>
    </row>
    <row r="234" spans="2:11" x14ac:dyDescent="0.3">
      <c r="B234" s="73"/>
      <c r="C234" s="73"/>
      <c r="D234" s="73"/>
      <c r="E234" s="73"/>
      <c r="F234" s="73"/>
      <c r="G234" s="73"/>
      <c r="H234" s="73"/>
      <c r="I234" s="73"/>
      <c r="J234" s="74"/>
      <c r="K234" s="73"/>
    </row>
    <row r="235" spans="2:11" x14ac:dyDescent="0.3">
      <c r="B235" s="3"/>
      <c r="C235" s="3"/>
      <c r="D235" s="3"/>
      <c r="E235" s="3"/>
      <c r="F235" s="3"/>
      <c r="G235" s="3"/>
      <c r="H235" s="3"/>
      <c r="I235" s="3"/>
      <c r="J235" s="8"/>
      <c r="K235" s="3"/>
    </row>
    <row r="236" spans="2:11" x14ac:dyDescent="0.3">
      <c r="B236" s="73"/>
      <c r="C236" s="73"/>
      <c r="D236" s="73"/>
      <c r="E236" s="73"/>
      <c r="F236" s="73"/>
      <c r="G236" s="73"/>
      <c r="H236" s="73"/>
      <c r="I236" s="73"/>
      <c r="J236" s="74"/>
      <c r="K236" s="73"/>
    </row>
    <row r="237" spans="2:11" x14ac:dyDescent="0.3">
      <c r="B237" s="3"/>
      <c r="C237" s="3"/>
      <c r="D237" s="3"/>
      <c r="E237" s="3"/>
      <c r="F237" s="3"/>
      <c r="G237" s="3"/>
      <c r="H237" s="3"/>
      <c r="I237" s="3"/>
      <c r="J237" s="8"/>
      <c r="K237" s="3"/>
    </row>
    <row r="238" spans="2:11" x14ac:dyDescent="0.3">
      <c r="B238" s="73"/>
      <c r="C238" s="73"/>
      <c r="D238" s="73"/>
      <c r="E238" s="73"/>
      <c r="F238" s="73"/>
      <c r="G238" s="73"/>
      <c r="H238" s="73"/>
      <c r="I238" s="73"/>
      <c r="J238" s="74"/>
      <c r="K238" s="73"/>
    </row>
    <row r="239" spans="2:11" x14ac:dyDescent="0.3">
      <c r="B239" s="3"/>
      <c r="C239" s="3"/>
      <c r="D239" s="3"/>
      <c r="E239" s="3"/>
      <c r="F239" s="3"/>
      <c r="G239" s="3"/>
      <c r="H239" s="3"/>
      <c r="I239" s="3"/>
      <c r="J239" s="8"/>
      <c r="K239" s="3"/>
    </row>
    <row r="240" spans="2:11" x14ac:dyDescent="0.3">
      <c r="B240" s="73"/>
      <c r="C240" s="73"/>
      <c r="D240" s="73"/>
      <c r="E240" s="73"/>
      <c r="F240" s="73"/>
      <c r="G240" s="73"/>
      <c r="H240" s="73"/>
      <c r="I240" s="73"/>
      <c r="J240" s="74"/>
      <c r="K240" s="73"/>
    </row>
    <row r="241" spans="2:11" x14ac:dyDescent="0.3">
      <c r="B241" s="3"/>
      <c r="C241" s="3"/>
      <c r="D241" s="3"/>
      <c r="E241" s="3"/>
      <c r="F241" s="3"/>
      <c r="G241" s="3"/>
      <c r="H241" s="3"/>
      <c r="I241" s="3"/>
      <c r="J241" s="8"/>
      <c r="K241" s="3"/>
    </row>
    <row r="242" spans="2:11" x14ac:dyDescent="0.3">
      <c r="B242" s="73"/>
      <c r="C242" s="73"/>
      <c r="D242" s="73"/>
      <c r="E242" s="73"/>
      <c r="F242" s="73"/>
      <c r="G242" s="73"/>
      <c r="H242" s="73"/>
      <c r="I242" s="73"/>
      <c r="J242" s="74"/>
      <c r="K242" s="73"/>
    </row>
    <row r="243" spans="2:11" x14ac:dyDescent="0.3">
      <c r="B243" s="3"/>
      <c r="C243" s="3"/>
      <c r="D243" s="3"/>
      <c r="E243" s="3"/>
      <c r="F243" s="3"/>
      <c r="G243" s="3"/>
      <c r="H243" s="3"/>
      <c r="I243" s="3"/>
      <c r="J243" s="8"/>
      <c r="K243" s="3"/>
    </row>
    <row r="244" spans="2:11" x14ac:dyDescent="0.3">
      <c r="B244" s="73"/>
      <c r="C244" s="73"/>
      <c r="D244" s="73"/>
      <c r="E244" s="73"/>
      <c r="F244" s="73"/>
      <c r="G244" s="73"/>
      <c r="H244" s="73"/>
      <c r="I244" s="73"/>
      <c r="J244" s="74"/>
      <c r="K244" s="73"/>
    </row>
    <row r="245" spans="2:11" x14ac:dyDescent="0.3">
      <c r="B245" s="3"/>
      <c r="C245" s="3"/>
      <c r="D245" s="3"/>
      <c r="E245" s="3"/>
      <c r="F245" s="3"/>
      <c r="G245" s="3"/>
      <c r="H245" s="3"/>
      <c r="I245" s="3"/>
      <c r="J245" s="8"/>
      <c r="K245" s="3"/>
    </row>
    <row r="246" spans="2:11" x14ac:dyDescent="0.3">
      <c r="B246" s="73"/>
      <c r="C246" s="75"/>
      <c r="D246" s="75"/>
      <c r="E246" s="75"/>
      <c r="F246" s="75"/>
      <c r="G246" s="73"/>
      <c r="H246" s="75"/>
      <c r="I246" s="73"/>
      <c r="J246" s="76"/>
      <c r="K246" s="75"/>
    </row>
    <row r="247" spans="2:11" x14ac:dyDescent="0.3">
      <c r="B247" s="3"/>
      <c r="C247" s="1"/>
      <c r="D247" s="1"/>
      <c r="E247" s="1"/>
      <c r="F247" s="1"/>
      <c r="G247" s="3"/>
      <c r="H247" s="1"/>
      <c r="I247" s="3"/>
      <c r="J247" s="9"/>
      <c r="K247" s="1"/>
    </row>
    <row r="248" spans="2:11" x14ac:dyDescent="0.3">
      <c r="B248" s="73"/>
      <c r="C248" s="75"/>
      <c r="D248" s="75"/>
      <c r="E248" s="75"/>
      <c r="F248" s="75"/>
      <c r="G248" s="73"/>
      <c r="H248" s="75"/>
      <c r="I248" s="73"/>
      <c r="J248" s="76"/>
      <c r="K248" s="75"/>
    </row>
    <row r="249" spans="2:11" x14ac:dyDescent="0.3">
      <c r="B249" s="3"/>
      <c r="C249" s="1"/>
      <c r="D249" s="1"/>
      <c r="E249" s="1"/>
      <c r="F249" s="1"/>
      <c r="G249" s="3"/>
      <c r="H249" s="1"/>
      <c r="I249" s="3"/>
      <c r="J249" s="9"/>
      <c r="K249" s="1"/>
    </row>
    <row r="250" spans="2:11" x14ac:dyDescent="0.3">
      <c r="B250" s="73"/>
      <c r="C250" s="75"/>
      <c r="D250" s="75"/>
      <c r="E250" s="75"/>
      <c r="F250" s="75"/>
      <c r="G250" s="73"/>
      <c r="H250" s="75"/>
      <c r="I250" s="73"/>
      <c r="J250" s="76"/>
      <c r="K250" s="75"/>
    </row>
    <row r="251" spans="2:11" x14ac:dyDescent="0.3">
      <c r="B251" s="3"/>
      <c r="C251" s="1"/>
      <c r="D251" s="1"/>
      <c r="E251" s="1"/>
      <c r="F251" s="1"/>
      <c r="G251" s="3"/>
      <c r="H251" s="1"/>
      <c r="I251" s="3"/>
      <c r="J251" s="9"/>
      <c r="K251" s="1"/>
    </row>
    <row r="252" spans="2:11" x14ac:dyDescent="0.3">
      <c r="B252" s="73"/>
      <c r="C252" s="75"/>
      <c r="D252" s="75"/>
      <c r="E252" s="75"/>
      <c r="F252" s="75"/>
      <c r="G252" s="73"/>
      <c r="H252" s="75"/>
      <c r="I252" s="73"/>
      <c r="J252" s="76"/>
      <c r="K252" s="75"/>
    </row>
    <row r="253" spans="2:11" x14ac:dyDescent="0.3">
      <c r="B253" s="3"/>
      <c r="C253" s="1"/>
      <c r="D253" s="1"/>
      <c r="E253" s="1"/>
      <c r="F253" s="1"/>
      <c r="G253" s="3"/>
      <c r="H253" s="1"/>
      <c r="I253" s="3"/>
      <c r="J253" s="9"/>
      <c r="K253" s="1"/>
    </row>
    <row r="254" spans="2:11" x14ac:dyDescent="0.3">
      <c r="B254" s="73"/>
      <c r="C254" s="75"/>
      <c r="D254" s="75"/>
      <c r="E254" s="75"/>
      <c r="F254" s="75"/>
      <c r="G254" s="73"/>
      <c r="H254" s="75"/>
      <c r="I254" s="73"/>
      <c r="J254" s="76"/>
      <c r="K254" s="75"/>
    </row>
    <row r="255" spans="2:11" x14ac:dyDescent="0.3">
      <c r="B255" s="3"/>
      <c r="C255" s="1"/>
      <c r="D255" s="1"/>
      <c r="E255" s="1"/>
      <c r="F255" s="1"/>
      <c r="G255" s="3"/>
      <c r="H255" s="1"/>
      <c r="I255" s="3"/>
      <c r="J255" s="9"/>
      <c r="K255" s="1"/>
    </row>
    <row r="256" spans="2:11" x14ac:dyDescent="0.3">
      <c r="B256" s="73"/>
      <c r="C256" s="75"/>
      <c r="D256" s="75"/>
      <c r="E256" s="75"/>
      <c r="F256" s="75"/>
      <c r="G256" s="73"/>
      <c r="H256" s="75"/>
      <c r="I256" s="73"/>
      <c r="J256" s="76"/>
      <c r="K256" s="75"/>
    </row>
    <row r="257" spans="2:11" x14ac:dyDescent="0.3">
      <c r="B257" s="3"/>
      <c r="C257" s="2"/>
      <c r="D257" s="2"/>
      <c r="E257" s="2"/>
      <c r="F257" s="2"/>
      <c r="G257" s="3"/>
      <c r="H257" s="2"/>
      <c r="I257" s="3"/>
      <c r="J257" s="10"/>
      <c r="K257" s="2"/>
    </row>
    <row r="258" spans="2:11" x14ac:dyDescent="0.3">
      <c r="B258" s="73"/>
      <c r="C258" s="75"/>
      <c r="D258" s="75"/>
      <c r="E258" s="75"/>
      <c r="F258" s="75"/>
      <c r="G258" s="73"/>
      <c r="H258" s="75"/>
      <c r="I258" s="73"/>
      <c r="J258" s="76"/>
      <c r="K258" s="75"/>
    </row>
    <row r="259" spans="2:11" x14ac:dyDescent="0.3">
      <c r="B259" s="3"/>
      <c r="C259" s="1"/>
      <c r="D259" s="1"/>
      <c r="E259" s="1"/>
      <c r="F259" s="1"/>
      <c r="G259" s="3"/>
      <c r="H259" s="1"/>
      <c r="I259" s="3"/>
      <c r="J259" s="9"/>
      <c r="K259" s="1"/>
    </row>
    <row r="260" spans="2:11" x14ac:dyDescent="0.3">
      <c r="B260" s="73"/>
      <c r="C260" s="75"/>
      <c r="D260" s="75"/>
      <c r="E260" s="75"/>
      <c r="F260" s="75"/>
      <c r="G260" s="73"/>
      <c r="H260" s="75"/>
      <c r="I260" s="73"/>
      <c r="J260" s="76"/>
      <c r="K260" s="75"/>
    </row>
    <row r="261" spans="2:11" x14ac:dyDescent="0.3">
      <c r="B261" s="3"/>
      <c r="C261" s="1"/>
      <c r="D261" s="1"/>
      <c r="E261" s="1"/>
      <c r="F261" s="1"/>
      <c r="G261" s="3"/>
      <c r="H261" s="1"/>
      <c r="I261" s="3"/>
      <c r="J261" s="9"/>
      <c r="K261" s="1"/>
    </row>
    <row r="262" spans="2:11" x14ac:dyDescent="0.3">
      <c r="B262" s="73"/>
      <c r="C262" s="75"/>
      <c r="D262" s="75"/>
      <c r="E262" s="75"/>
      <c r="F262" s="75"/>
      <c r="G262" s="73"/>
      <c r="H262" s="75"/>
      <c r="I262" s="73"/>
      <c r="J262" s="76"/>
      <c r="K262" s="75"/>
    </row>
    <row r="263" spans="2:11" x14ac:dyDescent="0.3">
      <c r="B263" s="3"/>
      <c r="C263" s="1"/>
      <c r="D263" s="1"/>
      <c r="E263" s="1"/>
      <c r="F263" s="1"/>
      <c r="G263" s="3"/>
      <c r="H263" s="1"/>
      <c r="I263" s="3"/>
      <c r="J263" s="9"/>
      <c r="K263" s="1"/>
    </row>
    <row r="264" spans="2:11" x14ac:dyDescent="0.3">
      <c r="B264" s="73"/>
      <c r="C264" s="75"/>
      <c r="D264" s="75"/>
      <c r="E264" s="75"/>
      <c r="F264" s="75"/>
      <c r="G264" s="73"/>
      <c r="H264" s="75"/>
      <c r="I264" s="73"/>
      <c r="J264" s="76"/>
      <c r="K264" s="75"/>
    </row>
    <row r="265" spans="2:11" x14ac:dyDescent="0.3">
      <c r="B265" s="3"/>
      <c r="C265" s="1"/>
      <c r="D265" s="1"/>
      <c r="E265" s="1"/>
      <c r="F265" s="1"/>
      <c r="G265" s="3"/>
      <c r="H265" s="1"/>
      <c r="I265" s="3"/>
      <c r="J265" s="9"/>
      <c r="K265" s="1"/>
    </row>
    <row r="266" spans="2:11" x14ac:dyDescent="0.3">
      <c r="B266" s="73"/>
      <c r="C266" s="75"/>
      <c r="D266" s="75"/>
      <c r="E266" s="75"/>
      <c r="F266" s="75"/>
      <c r="G266" s="73"/>
      <c r="H266" s="75"/>
      <c r="I266" s="73"/>
      <c r="J266" s="76"/>
      <c r="K266" s="75"/>
    </row>
    <row r="267" spans="2:11" x14ac:dyDescent="0.3">
      <c r="B267" s="3"/>
      <c r="C267" s="1"/>
      <c r="D267" s="1"/>
      <c r="E267" s="1"/>
      <c r="F267" s="1"/>
      <c r="G267" s="3"/>
      <c r="H267" s="1"/>
      <c r="I267" s="3"/>
      <c r="J267" s="9"/>
      <c r="K267" s="1"/>
    </row>
    <row r="268" spans="2:11" x14ac:dyDescent="0.3">
      <c r="B268" s="73"/>
      <c r="C268" s="75"/>
      <c r="D268" s="75"/>
      <c r="E268" s="75"/>
      <c r="F268" s="75"/>
      <c r="G268" s="73"/>
      <c r="H268" s="75"/>
      <c r="I268" s="73"/>
      <c r="J268" s="76"/>
      <c r="K268" s="75"/>
    </row>
    <row r="269" spans="2:11" x14ac:dyDescent="0.3">
      <c r="B269" s="3"/>
      <c r="C269" s="1"/>
      <c r="D269" s="1"/>
      <c r="E269" s="1"/>
      <c r="F269" s="1"/>
      <c r="G269" s="3"/>
      <c r="H269" s="1"/>
      <c r="I269" s="3"/>
      <c r="J269" s="9"/>
      <c r="K269" s="1"/>
    </row>
    <row r="270" spans="2:11" x14ac:dyDescent="0.3">
      <c r="B270" s="73"/>
      <c r="C270" s="75"/>
      <c r="D270" s="75"/>
      <c r="E270" s="75"/>
      <c r="F270" s="75"/>
      <c r="G270" s="73"/>
      <c r="H270" s="75"/>
      <c r="I270" s="73"/>
      <c r="J270" s="76"/>
      <c r="K270" s="75"/>
    </row>
    <row r="271" spans="2:11" x14ac:dyDescent="0.3">
      <c r="B271" s="3"/>
      <c r="C271" s="1"/>
      <c r="D271" s="1"/>
      <c r="E271" s="1"/>
      <c r="F271" s="1"/>
      <c r="G271" s="3"/>
      <c r="H271" s="1"/>
      <c r="I271" s="3"/>
      <c r="J271" s="9"/>
      <c r="K271" s="1"/>
    </row>
    <row r="272" spans="2:11" x14ac:dyDescent="0.3">
      <c r="B272" s="73"/>
      <c r="C272" s="75"/>
      <c r="D272" s="75"/>
      <c r="E272" s="75"/>
      <c r="F272" s="75"/>
      <c r="G272" s="73"/>
      <c r="H272" s="75"/>
      <c r="I272" s="73"/>
      <c r="J272" s="76"/>
      <c r="K272" s="75"/>
    </row>
    <row r="273" spans="2:11" x14ac:dyDescent="0.3">
      <c r="B273" s="3"/>
      <c r="C273" s="1"/>
      <c r="D273" s="1"/>
      <c r="E273" s="1"/>
      <c r="F273" s="1"/>
      <c r="G273" s="3"/>
      <c r="H273" s="1"/>
      <c r="I273" s="3"/>
      <c r="J273" s="9"/>
      <c r="K273" s="1"/>
    </row>
    <row r="274" spans="2:11" x14ac:dyDescent="0.3">
      <c r="B274" s="73"/>
      <c r="C274" s="75"/>
      <c r="D274" s="75"/>
      <c r="E274" s="75"/>
      <c r="F274" s="75"/>
      <c r="G274" s="73"/>
      <c r="H274" s="75"/>
      <c r="I274" s="73"/>
      <c r="J274" s="76"/>
      <c r="K274" s="75"/>
    </row>
    <row r="275" spans="2:11" x14ac:dyDescent="0.3">
      <c r="B275" s="3"/>
      <c r="C275" s="1"/>
      <c r="D275" s="1"/>
      <c r="E275" s="1"/>
      <c r="F275" s="1"/>
      <c r="G275" s="3"/>
      <c r="H275" s="1"/>
      <c r="I275" s="3"/>
      <c r="J275" s="9"/>
      <c r="K275" s="1"/>
    </row>
    <row r="276" spans="2:11" x14ac:dyDescent="0.3">
      <c r="B276" s="73"/>
      <c r="C276" s="75"/>
      <c r="D276" s="75"/>
      <c r="E276" s="75"/>
      <c r="F276" s="75"/>
      <c r="G276" s="73"/>
      <c r="H276" s="75"/>
      <c r="I276" s="73"/>
      <c r="J276" s="76"/>
      <c r="K276" s="75"/>
    </row>
    <row r="277" spans="2:11" x14ac:dyDescent="0.3">
      <c r="B277" s="3"/>
      <c r="C277" s="1"/>
      <c r="D277" s="1"/>
      <c r="E277" s="1"/>
      <c r="F277" s="1"/>
      <c r="G277" s="3"/>
      <c r="H277" s="1"/>
      <c r="I277" s="3"/>
      <c r="J277" s="9"/>
      <c r="K277" s="1"/>
    </row>
    <row r="278" spans="2:11" x14ac:dyDescent="0.3">
      <c r="B278" s="73"/>
      <c r="C278" s="75"/>
      <c r="D278" s="75"/>
      <c r="E278" s="75"/>
      <c r="F278" s="75"/>
      <c r="G278" s="73"/>
      <c r="H278" s="75"/>
      <c r="I278" s="73"/>
      <c r="J278" s="76"/>
      <c r="K278" s="75"/>
    </row>
    <row r="279" spans="2:11" x14ac:dyDescent="0.3">
      <c r="B279" s="3"/>
      <c r="C279" s="1"/>
      <c r="D279" s="1"/>
      <c r="E279" s="1"/>
      <c r="F279" s="1"/>
      <c r="G279" s="3"/>
      <c r="H279" s="1"/>
      <c r="I279" s="3"/>
      <c r="J279" s="9"/>
      <c r="K279" s="1"/>
    </row>
    <row r="280" spans="2:11" x14ac:dyDescent="0.3">
      <c r="B280" s="73"/>
      <c r="C280" s="75"/>
      <c r="D280" s="75"/>
      <c r="E280" s="75"/>
      <c r="F280" s="75"/>
      <c r="G280" s="73"/>
      <c r="H280" s="75"/>
      <c r="I280" s="73"/>
      <c r="J280" s="76"/>
      <c r="K280" s="75"/>
    </row>
    <row r="281" spans="2:11" x14ac:dyDescent="0.3">
      <c r="B281" s="3"/>
      <c r="C281" s="1"/>
      <c r="D281" s="1"/>
      <c r="E281" s="1"/>
      <c r="F281" s="1"/>
      <c r="G281" s="3"/>
      <c r="H281" s="1"/>
      <c r="I281" s="3"/>
      <c r="J281" s="9"/>
      <c r="K281" s="1"/>
    </row>
    <row r="282" spans="2:11" x14ac:dyDescent="0.3">
      <c r="B282" s="73"/>
      <c r="C282" s="75"/>
      <c r="D282" s="75"/>
      <c r="E282" s="75"/>
      <c r="F282" s="75"/>
      <c r="G282" s="73"/>
      <c r="H282" s="75"/>
      <c r="I282" s="73"/>
      <c r="J282" s="76"/>
      <c r="K282" s="75"/>
    </row>
    <row r="283" spans="2:11" x14ac:dyDescent="0.3">
      <c r="B283" s="3"/>
      <c r="C283" s="1"/>
      <c r="D283" s="1"/>
      <c r="E283" s="1"/>
      <c r="F283" s="1"/>
      <c r="G283" s="3"/>
      <c r="H283" s="1"/>
      <c r="I283" s="3"/>
      <c r="J283" s="9"/>
      <c r="K283" s="1"/>
    </row>
    <row r="284" spans="2:11" x14ac:dyDescent="0.3">
      <c r="B284" s="73"/>
      <c r="C284" s="75"/>
      <c r="D284" s="75"/>
      <c r="E284" s="75"/>
      <c r="F284" s="75"/>
      <c r="G284" s="73"/>
      <c r="H284" s="75"/>
      <c r="I284" s="73"/>
      <c r="J284" s="76"/>
      <c r="K284" s="75"/>
    </row>
    <row r="285" spans="2:11" x14ac:dyDescent="0.3">
      <c r="B285" s="3"/>
      <c r="C285" s="1"/>
      <c r="D285" s="1"/>
      <c r="E285" s="1"/>
      <c r="F285" s="1"/>
      <c r="G285" s="3"/>
      <c r="H285" s="1"/>
      <c r="I285" s="3"/>
      <c r="J285" s="9"/>
      <c r="K285" s="1"/>
    </row>
    <row r="286" spans="2:11" x14ac:dyDescent="0.3">
      <c r="B286" s="73"/>
      <c r="C286" s="75"/>
      <c r="D286" s="75"/>
      <c r="E286" s="75"/>
      <c r="F286" s="75"/>
      <c r="G286" s="73"/>
      <c r="H286" s="75"/>
      <c r="I286" s="73"/>
      <c r="J286" s="76"/>
      <c r="K286" s="75"/>
    </row>
    <row r="287" spans="2:11" x14ac:dyDescent="0.3">
      <c r="B287" s="3"/>
      <c r="C287" s="1"/>
      <c r="D287" s="1"/>
      <c r="E287" s="1"/>
      <c r="F287" s="1"/>
      <c r="G287" s="3"/>
      <c r="H287" s="1"/>
      <c r="I287" s="3"/>
      <c r="J287" s="9"/>
      <c r="K287" s="1"/>
    </row>
    <row r="288" spans="2:11" x14ac:dyDescent="0.3">
      <c r="B288" s="73"/>
      <c r="C288" s="75"/>
      <c r="D288" s="75"/>
      <c r="E288" s="75"/>
      <c r="F288" s="75"/>
      <c r="G288" s="73"/>
      <c r="H288" s="75"/>
      <c r="I288" s="73"/>
      <c r="J288" s="76"/>
      <c r="K288" s="75"/>
    </row>
    <row r="289" spans="2:11" x14ac:dyDescent="0.3">
      <c r="B289" s="3"/>
      <c r="C289" s="1"/>
      <c r="D289" s="1"/>
      <c r="E289" s="1"/>
      <c r="F289" s="1"/>
      <c r="G289" s="3"/>
      <c r="H289" s="1"/>
      <c r="I289" s="3"/>
      <c r="J289" s="9"/>
      <c r="K289" s="1"/>
    </row>
    <row r="290" spans="2:11" x14ac:dyDescent="0.3">
      <c r="B290" s="73"/>
      <c r="C290" s="75"/>
      <c r="D290" s="75"/>
      <c r="E290" s="75"/>
      <c r="F290" s="75"/>
      <c r="G290" s="73"/>
      <c r="H290" s="75"/>
      <c r="I290" s="73"/>
      <c r="J290" s="76"/>
      <c r="K290" s="75"/>
    </row>
    <row r="291" spans="2:11" x14ac:dyDescent="0.3">
      <c r="B291" s="3"/>
      <c r="C291" s="1"/>
      <c r="D291" s="1"/>
      <c r="E291" s="1"/>
      <c r="F291" s="1"/>
      <c r="G291" s="3"/>
      <c r="H291" s="1"/>
      <c r="I291" s="3"/>
      <c r="J291" s="9"/>
      <c r="K291" s="1"/>
    </row>
    <row r="292" spans="2:11" x14ac:dyDescent="0.3">
      <c r="B292" s="73"/>
      <c r="C292" s="75"/>
      <c r="D292" s="75"/>
      <c r="E292" s="75"/>
      <c r="F292" s="75"/>
      <c r="G292" s="73"/>
      <c r="H292" s="75"/>
      <c r="I292" s="73"/>
      <c r="J292" s="76"/>
      <c r="K292" s="75"/>
    </row>
    <row r="293" spans="2:11" x14ac:dyDescent="0.3">
      <c r="B293" s="3"/>
      <c r="C293" s="1"/>
      <c r="D293" s="1"/>
      <c r="E293" s="1"/>
      <c r="F293" s="1"/>
      <c r="G293" s="3"/>
      <c r="H293" s="1"/>
      <c r="I293" s="3"/>
      <c r="J293" s="9"/>
      <c r="K293" s="1"/>
    </row>
    <row r="294" spans="2:11" x14ac:dyDescent="0.3">
      <c r="B294" s="73"/>
      <c r="C294" s="75"/>
      <c r="D294" s="75"/>
      <c r="E294" s="75"/>
      <c r="F294" s="75"/>
      <c r="G294" s="73"/>
      <c r="H294" s="75"/>
      <c r="I294" s="73"/>
      <c r="J294" s="76"/>
      <c r="K294" s="75"/>
    </row>
    <row r="295" spans="2:11" x14ac:dyDescent="0.3">
      <c r="B295" s="3"/>
      <c r="C295" s="1"/>
      <c r="D295" s="1"/>
      <c r="E295" s="1"/>
      <c r="F295" s="1"/>
      <c r="G295" s="3"/>
      <c r="H295" s="1"/>
      <c r="I295" s="3"/>
      <c r="J295" s="9"/>
      <c r="K295" s="1"/>
    </row>
    <row r="296" spans="2:11" x14ac:dyDescent="0.3">
      <c r="B296" s="73"/>
      <c r="C296" s="75"/>
      <c r="D296" s="75"/>
      <c r="E296" s="75"/>
      <c r="F296" s="75"/>
      <c r="G296" s="73"/>
      <c r="H296" s="75"/>
      <c r="I296" s="73"/>
      <c r="J296" s="76"/>
      <c r="K296" s="75"/>
    </row>
    <row r="297" spans="2:11" x14ac:dyDescent="0.3">
      <c r="B297" s="3"/>
      <c r="C297" s="1"/>
      <c r="D297" s="1"/>
      <c r="E297" s="1"/>
      <c r="F297" s="1"/>
      <c r="G297" s="3"/>
      <c r="H297" s="1"/>
      <c r="I297" s="3"/>
      <c r="J297" s="9"/>
      <c r="K297" s="1"/>
    </row>
    <row r="298" spans="2:11" x14ac:dyDescent="0.3">
      <c r="B298" s="73"/>
      <c r="C298" s="75"/>
      <c r="D298" s="75"/>
      <c r="E298" s="75"/>
      <c r="F298" s="75"/>
      <c r="G298" s="73"/>
      <c r="H298" s="75"/>
      <c r="I298" s="73"/>
      <c r="J298" s="76"/>
      <c r="K298" s="75"/>
    </row>
    <row r="299" spans="2:11" x14ac:dyDescent="0.3">
      <c r="B299" s="3"/>
      <c r="C299" s="1"/>
      <c r="D299" s="1"/>
      <c r="E299" s="1"/>
      <c r="F299" s="1"/>
      <c r="G299" s="3"/>
      <c r="H299" s="1"/>
      <c r="I299" s="3"/>
      <c r="J299" s="9"/>
      <c r="K299" s="1"/>
    </row>
    <row r="300" spans="2:11" x14ac:dyDescent="0.3">
      <c r="B300" s="73"/>
      <c r="C300" s="75"/>
      <c r="D300" s="75"/>
      <c r="E300" s="75"/>
      <c r="F300" s="75"/>
      <c r="G300" s="73"/>
      <c r="H300" s="75"/>
      <c r="I300" s="73"/>
      <c r="J300" s="76"/>
      <c r="K300" s="75"/>
    </row>
    <row r="301" spans="2:11" x14ac:dyDescent="0.3">
      <c r="B301" s="3"/>
      <c r="C301" s="1"/>
      <c r="D301" s="1"/>
      <c r="E301" s="1"/>
      <c r="F301" s="1"/>
      <c r="G301" s="3"/>
      <c r="H301" s="1"/>
      <c r="I301" s="3"/>
      <c r="J301" s="9"/>
      <c r="K301" s="1"/>
    </row>
    <row r="302" spans="2:11" x14ac:dyDescent="0.3">
      <c r="B302" s="73"/>
      <c r="C302" s="75"/>
      <c r="D302" s="75"/>
      <c r="E302" s="75"/>
      <c r="F302" s="75"/>
      <c r="G302" s="73"/>
      <c r="H302" s="75"/>
      <c r="I302" s="73"/>
      <c r="J302" s="76"/>
      <c r="K302" s="75"/>
    </row>
    <row r="303" spans="2:11" x14ac:dyDescent="0.3">
      <c r="B303" s="3"/>
      <c r="C303" s="1"/>
      <c r="D303" s="1"/>
      <c r="E303" s="1"/>
      <c r="F303" s="1"/>
      <c r="G303" s="3"/>
      <c r="H303" s="1"/>
      <c r="I303" s="3"/>
      <c r="J303" s="9"/>
      <c r="K303" s="1"/>
    </row>
    <row r="304" spans="2:11" x14ac:dyDescent="0.3">
      <c r="B304" s="73"/>
      <c r="C304" s="75"/>
      <c r="D304" s="75"/>
      <c r="E304" s="75"/>
      <c r="F304" s="75"/>
      <c r="G304" s="73"/>
      <c r="H304" s="75"/>
      <c r="I304" s="73"/>
      <c r="J304" s="76"/>
      <c r="K304" s="75"/>
    </row>
    <row r="305" spans="2:11" x14ac:dyDescent="0.3">
      <c r="B305" s="3"/>
      <c r="C305" s="1"/>
      <c r="D305" s="1"/>
      <c r="E305" s="1"/>
      <c r="F305" s="1"/>
      <c r="G305" s="3"/>
      <c r="H305" s="1"/>
      <c r="I305" s="3"/>
      <c r="J305" s="9"/>
      <c r="K305" s="1"/>
    </row>
    <row r="306" spans="2:11" x14ac:dyDescent="0.3">
      <c r="B306" s="73"/>
      <c r="C306" s="75"/>
      <c r="D306" s="75"/>
      <c r="E306" s="75"/>
      <c r="F306" s="75"/>
      <c r="G306" s="73"/>
      <c r="H306" s="75"/>
      <c r="I306" s="73"/>
      <c r="J306" s="76"/>
      <c r="K306" s="75"/>
    </row>
    <row r="307" spans="2:11" x14ac:dyDescent="0.3">
      <c r="B307" s="3"/>
      <c r="C307" s="1"/>
      <c r="D307" s="1"/>
      <c r="E307" s="1"/>
      <c r="F307" s="1"/>
      <c r="G307" s="3"/>
      <c r="H307" s="1"/>
      <c r="I307" s="3"/>
      <c r="J307" s="9"/>
      <c r="K307" s="1"/>
    </row>
    <row r="308" spans="2:11" x14ac:dyDescent="0.3">
      <c r="B308" s="73"/>
      <c r="C308" s="75"/>
      <c r="D308" s="75"/>
      <c r="E308" s="75"/>
      <c r="F308" s="75"/>
      <c r="G308" s="73"/>
      <c r="H308" s="75"/>
      <c r="I308" s="73"/>
      <c r="J308" s="76"/>
      <c r="K308" s="75"/>
    </row>
    <row r="309" spans="2:11" x14ac:dyDescent="0.3">
      <c r="B309" s="3"/>
      <c r="C309" s="1"/>
      <c r="D309" s="1"/>
      <c r="E309" s="1"/>
      <c r="F309" s="1"/>
      <c r="G309" s="3"/>
      <c r="H309" s="1"/>
      <c r="I309" s="3"/>
      <c r="J309" s="9"/>
      <c r="K309" s="1"/>
    </row>
    <row r="310" spans="2:11" x14ac:dyDescent="0.3">
      <c r="B310" s="73"/>
      <c r="C310" s="75"/>
      <c r="D310" s="75"/>
      <c r="E310" s="75"/>
      <c r="F310" s="75"/>
      <c r="G310" s="73"/>
      <c r="H310" s="75"/>
      <c r="I310" s="73"/>
      <c r="J310" s="76"/>
      <c r="K310" s="75"/>
    </row>
    <row r="311" spans="2:11" x14ac:dyDescent="0.3">
      <c r="B311" s="3"/>
      <c r="C311" s="1"/>
      <c r="D311" s="1"/>
      <c r="E311" s="1"/>
      <c r="F311" s="1"/>
      <c r="G311" s="3"/>
      <c r="H311" s="1"/>
      <c r="I311" s="3"/>
      <c r="J311" s="9"/>
      <c r="K311" s="1"/>
    </row>
    <row r="312" spans="2:11" x14ac:dyDescent="0.3">
      <c r="B312" s="73"/>
      <c r="C312" s="75"/>
      <c r="D312" s="75"/>
      <c r="E312" s="75"/>
      <c r="F312" s="75"/>
      <c r="G312" s="73"/>
      <c r="H312" s="75"/>
      <c r="I312" s="73"/>
      <c r="J312" s="76"/>
      <c r="K312" s="75"/>
    </row>
    <row r="313" spans="2:11" x14ac:dyDescent="0.3">
      <c r="B313" s="3"/>
      <c r="C313" s="1"/>
      <c r="D313" s="1"/>
      <c r="E313" s="1"/>
      <c r="F313" s="1"/>
      <c r="G313" s="3"/>
      <c r="H313" s="1"/>
      <c r="I313" s="3"/>
      <c r="J313" s="9"/>
      <c r="K313" s="1"/>
    </row>
    <row r="314" spans="2:11" x14ac:dyDescent="0.3">
      <c r="B314" s="73"/>
      <c r="C314" s="75"/>
      <c r="D314" s="75"/>
      <c r="E314" s="75"/>
      <c r="F314" s="75"/>
      <c r="G314" s="73"/>
      <c r="H314" s="75"/>
      <c r="I314" s="73"/>
      <c r="J314" s="76"/>
      <c r="K314" s="75"/>
    </row>
    <row r="315" spans="2:11" x14ac:dyDescent="0.3">
      <c r="B315" s="3"/>
      <c r="C315" s="1"/>
      <c r="D315" s="1"/>
      <c r="E315" s="1"/>
      <c r="F315" s="1"/>
      <c r="G315" s="3"/>
      <c r="H315" s="1"/>
      <c r="I315" s="3"/>
      <c r="J315" s="9"/>
      <c r="K315" s="1"/>
    </row>
    <row r="316" spans="2:11" x14ac:dyDescent="0.3">
      <c r="B316" s="73"/>
      <c r="C316" s="75"/>
      <c r="D316" s="75"/>
      <c r="E316" s="75"/>
      <c r="F316" s="75"/>
      <c r="G316" s="73"/>
      <c r="H316" s="75"/>
      <c r="I316" s="73"/>
      <c r="J316" s="76"/>
      <c r="K316" s="75"/>
    </row>
    <row r="317" spans="2:11" x14ac:dyDescent="0.3">
      <c r="B317" s="3"/>
      <c r="C317" s="1"/>
      <c r="D317" s="1"/>
      <c r="E317" s="1"/>
      <c r="F317" s="1"/>
      <c r="G317" s="3"/>
      <c r="H317" s="1"/>
      <c r="I317" s="3"/>
      <c r="J317" s="9"/>
      <c r="K317" s="1"/>
    </row>
    <row r="318" spans="2:11" x14ac:dyDescent="0.3">
      <c r="B318" s="73"/>
      <c r="C318" s="75"/>
      <c r="D318" s="75"/>
      <c r="E318" s="75"/>
      <c r="F318" s="75"/>
      <c r="G318" s="73"/>
      <c r="H318" s="75"/>
      <c r="I318" s="73"/>
      <c r="J318" s="76"/>
      <c r="K318" s="75"/>
    </row>
    <row r="319" spans="2:11" x14ac:dyDescent="0.3">
      <c r="B319" s="3"/>
      <c r="C319" s="1"/>
      <c r="D319" s="1"/>
      <c r="E319" s="1"/>
      <c r="F319" s="1"/>
      <c r="G319" s="3"/>
      <c r="H319" s="1"/>
      <c r="I319" s="3"/>
      <c r="J319" s="9"/>
      <c r="K319" s="1"/>
    </row>
    <row r="320" spans="2:11" x14ac:dyDescent="0.3">
      <c r="B320" s="73"/>
      <c r="C320" s="75"/>
      <c r="D320" s="75"/>
      <c r="E320" s="75"/>
      <c r="F320" s="75"/>
      <c r="G320" s="73"/>
      <c r="H320" s="75"/>
      <c r="I320" s="73"/>
      <c r="J320" s="76"/>
      <c r="K320" s="75"/>
    </row>
    <row r="321" spans="2:11" x14ac:dyDescent="0.3">
      <c r="B321" s="3"/>
      <c r="C321" s="1"/>
      <c r="D321" s="1"/>
      <c r="E321" s="1"/>
      <c r="F321" s="1"/>
      <c r="G321" s="3"/>
      <c r="H321" s="1"/>
      <c r="I321" s="3"/>
      <c r="J321" s="9"/>
      <c r="K321" s="1"/>
    </row>
    <row r="322" spans="2:11" x14ac:dyDescent="0.3">
      <c r="B322" s="73"/>
      <c r="C322" s="73"/>
      <c r="D322" s="73"/>
      <c r="E322" s="73"/>
      <c r="F322" s="73"/>
      <c r="G322" s="73"/>
      <c r="H322" s="73"/>
      <c r="I322" s="73"/>
      <c r="J322" s="74"/>
      <c r="K322" s="73"/>
    </row>
    <row r="323" spans="2:11" x14ac:dyDescent="0.3">
      <c r="B323" s="3"/>
      <c r="C323" s="3"/>
      <c r="D323" s="3"/>
      <c r="E323" s="3"/>
      <c r="F323" s="3"/>
      <c r="G323" s="3"/>
      <c r="H323" s="3"/>
      <c r="I323" s="3"/>
      <c r="J323" s="8"/>
      <c r="K323" s="3"/>
    </row>
    <row r="324" spans="2:11" x14ac:dyDescent="0.3">
      <c r="B324" s="73"/>
      <c r="C324" s="73"/>
      <c r="D324" s="73"/>
      <c r="E324" s="73"/>
      <c r="F324" s="73"/>
      <c r="G324" s="73"/>
      <c r="H324" s="73"/>
      <c r="I324" s="73"/>
      <c r="J324" s="74"/>
      <c r="K324" s="73"/>
    </row>
    <row r="325" spans="2:11" x14ac:dyDescent="0.3">
      <c r="B325" s="3"/>
      <c r="C325" s="3"/>
      <c r="D325" s="3"/>
      <c r="E325" s="3"/>
      <c r="F325" s="3"/>
      <c r="G325" s="3"/>
      <c r="H325" s="3"/>
      <c r="I325" s="3"/>
      <c r="J325" s="8"/>
      <c r="K325" s="3"/>
    </row>
    <row r="326" spans="2:11" x14ac:dyDescent="0.3">
      <c r="B326" s="73"/>
      <c r="C326" s="73"/>
      <c r="D326" s="73"/>
      <c r="E326" s="73"/>
      <c r="F326" s="73"/>
      <c r="G326" s="73"/>
      <c r="H326" s="73"/>
      <c r="I326" s="73"/>
      <c r="J326" s="74"/>
      <c r="K326" s="73"/>
    </row>
    <row r="327" spans="2:11" x14ac:dyDescent="0.3">
      <c r="B327" s="3"/>
      <c r="C327" s="3"/>
      <c r="D327" s="3"/>
      <c r="E327" s="3"/>
      <c r="F327" s="3"/>
      <c r="G327" s="3"/>
      <c r="H327" s="3"/>
      <c r="I327" s="3"/>
      <c r="J327" s="8"/>
      <c r="K327" s="3"/>
    </row>
    <row r="328" spans="2:11" x14ac:dyDescent="0.3">
      <c r="B328" s="73"/>
      <c r="C328" s="73"/>
      <c r="D328" s="73"/>
      <c r="E328" s="73"/>
      <c r="F328" s="73"/>
      <c r="G328" s="73"/>
      <c r="H328" s="73"/>
      <c r="I328" s="73"/>
      <c r="J328" s="74"/>
      <c r="K328" s="73"/>
    </row>
    <row r="329" spans="2:11" x14ac:dyDescent="0.3">
      <c r="B329" s="3"/>
      <c r="C329" s="3"/>
      <c r="D329" s="3"/>
      <c r="E329" s="3"/>
      <c r="F329" s="3"/>
      <c r="G329" s="3"/>
      <c r="H329" s="3"/>
      <c r="I329" s="3"/>
      <c r="J329" s="8"/>
      <c r="K329" s="3"/>
    </row>
    <row r="330" spans="2:11" x14ac:dyDescent="0.3">
      <c r="B330" s="73"/>
      <c r="C330" s="73"/>
      <c r="D330" s="73"/>
      <c r="E330" s="73"/>
      <c r="F330" s="73"/>
      <c r="G330" s="73"/>
      <c r="H330" s="73"/>
      <c r="I330" s="73"/>
      <c r="J330" s="74"/>
      <c r="K330" s="73"/>
    </row>
    <row r="331" spans="2:11" x14ac:dyDescent="0.3">
      <c r="B331" s="3"/>
      <c r="C331" s="3"/>
      <c r="D331" s="3"/>
      <c r="E331" s="3"/>
      <c r="F331" s="3"/>
      <c r="G331" s="3"/>
      <c r="H331" s="3"/>
      <c r="I331" s="3"/>
      <c r="J331" s="8"/>
      <c r="K331" s="3"/>
    </row>
    <row r="332" spans="2:11" x14ac:dyDescent="0.3">
      <c r="B332" s="73"/>
      <c r="C332" s="73"/>
      <c r="D332" s="73"/>
      <c r="E332" s="73"/>
      <c r="F332" s="73"/>
      <c r="G332" s="73"/>
      <c r="H332" s="73"/>
      <c r="I332" s="73"/>
      <c r="J332" s="74"/>
      <c r="K332" s="73"/>
    </row>
    <row r="333" spans="2:11" x14ac:dyDescent="0.3">
      <c r="B333" s="3"/>
      <c r="C333" s="3"/>
      <c r="D333" s="3"/>
      <c r="E333" s="3"/>
      <c r="F333" s="3"/>
      <c r="G333" s="3"/>
      <c r="H333" s="3"/>
      <c r="I333" s="3"/>
      <c r="J333" s="8"/>
      <c r="K333" s="3"/>
    </row>
    <row r="334" spans="2:11" x14ac:dyDescent="0.3">
      <c r="B334" s="73"/>
      <c r="C334" s="73"/>
      <c r="D334" s="73"/>
      <c r="E334" s="73"/>
      <c r="F334" s="73"/>
      <c r="G334" s="73"/>
      <c r="H334" s="73"/>
      <c r="I334" s="73"/>
      <c r="J334" s="74"/>
      <c r="K334" s="73"/>
    </row>
    <row r="335" spans="2:11" x14ac:dyDescent="0.3">
      <c r="B335" s="3"/>
      <c r="C335" s="3"/>
      <c r="D335" s="3"/>
      <c r="E335" s="3"/>
      <c r="F335" s="3"/>
      <c r="G335" s="3"/>
      <c r="H335" s="3"/>
      <c r="I335" s="3"/>
      <c r="J335" s="8"/>
      <c r="K335" s="3"/>
    </row>
    <row r="336" spans="2:11" x14ac:dyDescent="0.3">
      <c r="B336" s="73"/>
      <c r="C336" s="73"/>
      <c r="D336" s="73"/>
      <c r="E336" s="73"/>
      <c r="F336" s="73"/>
      <c r="G336" s="73"/>
      <c r="H336" s="73"/>
      <c r="I336" s="73"/>
      <c r="J336" s="74"/>
      <c r="K336" s="73"/>
    </row>
    <row r="337" spans="2:11" x14ac:dyDescent="0.3">
      <c r="B337" s="3"/>
      <c r="C337" s="3"/>
      <c r="D337" s="3"/>
      <c r="E337" s="3"/>
      <c r="F337" s="3"/>
      <c r="G337" s="3"/>
      <c r="H337" s="3"/>
      <c r="I337" s="3"/>
      <c r="J337" s="8"/>
      <c r="K337" s="3"/>
    </row>
    <row r="338" spans="2:11" x14ac:dyDescent="0.3">
      <c r="B338" s="73"/>
      <c r="C338" s="77"/>
      <c r="D338" s="73"/>
      <c r="E338" s="73"/>
      <c r="F338" s="73"/>
      <c r="G338" s="73"/>
      <c r="H338" s="73"/>
      <c r="I338" s="73"/>
      <c r="J338" s="74"/>
      <c r="K338" s="73"/>
    </row>
    <row r="339" spans="2:11" x14ac:dyDescent="0.3">
      <c r="B339" s="3"/>
      <c r="C339" s="3"/>
      <c r="D339" s="3"/>
      <c r="E339" s="3"/>
      <c r="F339" s="3"/>
      <c r="G339" s="3"/>
      <c r="H339" s="3"/>
      <c r="I339" s="3"/>
      <c r="J339" s="8"/>
      <c r="K339" s="3"/>
    </row>
    <row r="340" spans="2:11" x14ac:dyDescent="0.3">
      <c r="B340" s="73"/>
      <c r="C340" s="73"/>
      <c r="D340" s="73"/>
      <c r="E340" s="73"/>
      <c r="F340" s="73"/>
      <c r="G340" s="73"/>
      <c r="H340" s="73"/>
      <c r="I340" s="73"/>
      <c r="J340" s="74"/>
      <c r="K340" s="73"/>
    </row>
    <row r="341" spans="2:11" x14ac:dyDescent="0.3">
      <c r="B341" s="3"/>
      <c r="C341" s="3"/>
      <c r="D341" s="3"/>
      <c r="E341" s="3"/>
      <c r="F341" s="3"/>
      <c r="G341" s="3"/>
      <c r="H341" s="3"/>
      <c r="I341" s="3"/>
      <c r="J341" s="8"/>
      <c r="K341" s="3"/>
    </row>
    <row r="342" spans="2:11" x14ac:dyDescent="0.3">
      <c r="B342" s="73"/>
      <c r="C342" s="73"/>
      <c r="D342" s="73"/>
      <c r="E342" s="73"/>
      <c r="F342" s="73"/>
      <c r="G342" s="73"/>
      <c r="H342" s="73"/>
      <c r="I342" s="73"/>
      <c r="J342" s="74"/>
      <c r="K342" s="73"/>
    </row>
    <row r="343" spans="2:11" x14ac:dyDescent="0.3">
      <c r="B343" s="3"/>
      <c r="C343" s="3"/>
      <c r="D343" s="3"/>
      <c r="E343" s="3"/>
      <c r="F343" s="3"/>
      <c r="G343" s="3"/>
      <c r="H343" s="3"/>
      <c r="I343" s="3"/>
      <c r="J343" s="8"/>
      <c r="K343" s="3"/>
    </row>
    <row r="344" spans="2:11" x14ac:dyDescent="0.3">
      <c r="B344" s="73"/>
      <c r="C344" s="73"/>
      <c r="D344" s="73"/>
      <c r="E344" s="73"/>
      <c r="F344" s="73"/>
      <c r="G344" s="73"/>
      <c r="H344" s="73"/>
      <c r="I344" s="73"/>
      <c r="J344" s="74"/>
      <c r="K344" s="73"/>
    </row>
    <row r="345" spans="2:11" x14ac:dyDescent="0.3">
      <c r="B345" s="3"/>
      <c r="C345" s="3"/>
      <c r="D345" s="3"/>
      <c r="E345" s="3"/>
      <c r="F345" s="3"/>
      <c r="G345" s="3"/>
      <c r="H345" s="3"/>
      <c r="I345" s="3"/>
      <c r="J345" s="8"/>
      <c r="K345" s="3"/>
    </row>
    <row r="346" spans="2:11" x14ac:dyDescent="0.3">
      <c r="B346" s="73"/>
      <c r="C346" s="73"/>
      <c r="D346" s="73"/>
      <c r="E346" s="73"/>
      <c r="F346" s="73"/>
      <c r="G346" s="73"/>
      <c r="H346" s="73"/>
      <c r="I346" s="73"/>
      <c r="J346" s="74"/>
      <c r="K346" s="73"/>
    </row>
    <row r="347" spans="2:11" x14ac:dyDescent="0.3">
      <c r="B347" s="3"/>
      <c r="C347" s="3"/>
      <c r="D347" s="3"/>
      <c r="E347" s="3"/>
      <c r="F347" s="3"/>
      <c r="G347" s="3"/>
      <c r="H347" s="3"/>
      <c r="I347" s="3"/>
      <c r="J347" s="8"/>
      <c r="K347" s="3"/>
    </row>
    <row r="348" spans="2:11" x14ac:dyDescent="0.3">
      <c r="B348" s="73"/>
      <c r="C348" s="73"/>
      <c r="D348" s="73"/>
      <c r="E348" s="73"/>
      <c r="F348" s="73"/>
      <c r="G348" s="73"/>
      <c r="H348" s="73"/>
      <c r="I348" s="73"/>
      <c r="J348" s="74"/>
      <c r="K348" s="73"/>
    </row>
    <row r="349" spans="2:11" x14ac:dyDescent="0.3">
      <c r="B349" s="3"/>
      <c r="C349" s="3"/>
      <c r="D349" s="3"/>
      <c r="E349" s="3"/>
      <c r="F349" s="3"/>
      <c r="G349" s="3"/>
      <c r="H349" s="3"/>
      <c r="I349" s="3"/>
      <c r="J349" s="8"/>
      <c r="K349" s="3"/>
    </row>
    <row r="350" spans="2:11" x14ac:dyDescent="0.3">
      <c r="B350" s="73"/>
      <c r="C350" s="73"/>
      <c r="D350" s="73"/>
      <c r="E350" s="73"/>
      <c r="F350" s="73"/>
      <c r="G350" s="73"/>
      <c r="H350" s="73"/>
      <c r="I350" s="73"/>
      <c r="J350" s="74"/>
      <c r="K350" s="73"/>
    </row>
    <row r="351" spans="2:11" x14ac:dyDescent="0.3">
      <c r="B351" s="3"/>
      <c r="C351" s="3"/>
      <c r="D351" s="3"/>
      <c r="E351" s="3"/>
      <c r="F351" s="3"/>
      <c r="G351" s="3"/>
      <c r="H351" s="3"/>
      <c r="I351" s="3"/>
      <c r="J351" s="8"/>
      <c r="K351" s="3"/>
    </row>
    <row r="352" spans="2:11" x14ac:dyDescent="0.3">
      <c r="B352" s="73"/>
      <c r="C352" s="73"/>
      <c r="D352" s="73"/>
      <c r="E352" s="73"/>
      <c r="F352" s="73"/>
      <c r="G352" s="73"/>
      <c r="H352" s="73"/>
      <c r="I352" s="73"/>
      <c r="J352" s="74"/>
      <c r="K352" s="73"/>
    </row>
    <row r="353" spans="2:11" x14ac:dyDescent="0.3">
      <c r="B353" s="3"/>
      <c r="C353" s="3"/>
      <c r="D353" s="3"/>
      <c r="E353" s="3"/>
      <c r="F353" s="3"/>
      <c r="G353" s="3"/>
      <c r="H353" s="3"/>
      <c r="I353" s="3"/>
      <c r="J353" s="8"/>
      <c r="K353" s="3"/>
    </row>
    <row r="354" spans="2:11" x14ac:dyDescent="0.3">
      <c r="B354" s="73"/>
      <c r="C354" s="73"/>
      <c r="D354" s="73"/>
      <c r="E354" s="73"/>
      <c r="F354" s="73"/>
      <c r="G354" s="73"/>
      <c r="H354" s="73"/>
      <c r="I354" s="73"/>
      <c r="J354" s="74"/>
      <c r="K354" s="73"/>
    </row>
    <row r="355" spans="2:11" x14ac:dyDescent="0.3">
      <c r="B355" s="3"/>
      <c r="C355" s="3"/>
      <c r="D355" s="3"/>
      <c r="E355" s="3"/>
      <c r="F355" s="3"/>
      <c r="G355" s="3"/>
      <c r="H355" s="3"/>
      <c r="I355" s="3"/>
      <c r="J355" s="8"/>
      <c r="K355" s="3"/>
    </row>
    <row r="356" spans="2:11" x14ac:dyDescent="0.3">
      <c r="B356" s="73"/>
      <c r="C356" s="73"/>
      <c r="D356" s="73"/>
      <c r="E356" s="73"/>
      <c r="F356" s="73"/>
      <c r="G356" s="73"/>
      <c r="H356" s="73"/>
      <c r="I356" s="73"/>
      <c r="J356" s="74"/>
      <c r="K356" s="73"/>
    </row>
    <row r="357" spans="2:11" x14ac:dyDescent="0.3">
      <c r="B357" s="3"/>
      <c r="C357" s="3"/>
      <c r="D357" s="3"/>
      <c r="E357" s="3"/>
      <c r="F357" s="3"/>
      <c r="G357" s="3"/>
      <c r="H357" s="3"/>
      <c r="I357" s="3"/>
      <c r="J357" s="8"/>
      <c r="K357" s="3"/>
    </row>
    <row r="358" spans="2:11" x14ac:dyDescent="0.3">
      <c r="B358" s="73"/>
      <c r="C358" s="73"/>
      <c r="D358" s="73"/>
      <c r="E358" s="73"/>
      <c r="F358" s="73"/>
      <c r="G358" s="73"/>
      <c r="H358" s="73"/>
      <c r="I358" s="73"/>
      <c r="J358" s="74"/>
      <c r="K358" s="73"/>
    </row>
    <row r="359" spans="2:11" x14ac:dyDescent="0.3">
      <c r="B359" s="3"/>
      <c r="C359" s="3"/>
      <c r="D359" s="3"/>
      <c r="E359" s="3"/>
      <c r="F359" s="3"/>
      <c r="G359" s="3"/>
      <c r="H359" s="3"/>
      <c r="I359" s="3"/>
      <c r="J359" s="8"/>
      <c r="K359" s="3"/>
    </row>
    <row r="360" spans="2:11" x14ac:dyDescent="0.3">
      <c r="B360" s="73"/>
      <c r="C360" s="73"/>
      <c r="D360" s="73"/>
      <c r="E360" s="73"/>
      <c r="F360" s="73"/>
      <c r="G360" s="73"/>
      <c r="H360" s="73"/>
      <c r="I360" s="73"/>
      <c r="J360" s="74"/>
      <c r="K360" s="73"/>
    </row>
    <row r="361" spans="2:11" x14ac:dyDescent="0.3">
      <c r="B361" s="3"/>
      <c r="C361" s="3"/>
      <c r="D361" s="3"/>
      <c r="E361" s="3"/>
      <c r="F361" s="3"/>
      <c r="G361" s="3"/>
      <c r="H361" s="3"/>
      <c r="I361" s="3"/>
      <c r="J361" s="8"/>
      <c r="K361" s="3"/>
    </row>
    <row r="362" spans="2:11" x14ac:dyDescent="0.3">
      <c r="B362" s="73"/>
      <c r="C362" s="73"/>
      <c r="D362" s="73"/>
      <c r="E362" s="73"/>
      <c r="F362" s="73"/>
      <c r="G362" s="73"/>
      <c r="H362" s="73"/>
      <c r="I362" s="73"/>
      <c r="J362" s="74"/>
      <c r="K362" s="73"/>
    </row>
    <row r="363" spans="2:11" x14ac:dyDescent="0.3">
      <c r="B363" s="3"/>
      <c r="C363" s="3"/>
      <c r="D363" s="3"/>
      <c r="E363" s="3"/>
      <c r="F363" s="3"/>
      <c r="G363" s="3"/>
      <c r="H363" s="3"/>
      <c r="I363" s="3"/>
      <c r="J363" s="8"/>
      <c r="K363" s="3"/>
    </row>
    <row r="364" spans="2:11" x14ac:dyDescent="0.3">
      <c r="B364" s="73"/>
      <c r="C364" s="73"/>
      <c r="D364" s="73"/>
      <c r="E364" s="73"/>
      <c r="F364" s="73"/>
      <c r="G364" s="73"/>
      <c r="H364" s="73"/>
      <c r="I364" s="73"/>
      <c r="J364" s="74"/>
      <c r="K364" s="73"/>
    </row>
    <row r="365" spans="2:11" x14ac:dyDescent="0.3">
      <c r="B365" s="3"/>
      <c r="C365" s="3"/>
      <c r="D365" s="3"/>
      <c r="E365" s="3"/>
      <c r="F365" s="3"/>
      <c r="G365" s="3"/>
      <c r="H365" s="3"/>
      <c r="I365" s="3"/>
      <c r="J365" s="8"/>
      <c r="K365" s="3"/>
    </row>
    <row r="366" spans="2:11" x14ac:dyDescent="0.3">
      <c r="B366" s="73"/>
      <c r="C366" s="73"/>
      <c r="D366" s="73"/>
      <c r="E366" s="73"/>
      <c r="F366" s="73"/>
      <c r="G366" s="73"/>
      <c r="H366" s="73"/>
      <c r="I366" s="73"/>
      <c r="J366" s="74"/>
      <c r="K366" s="73"/>
    </row>
    <row r="367" spans="2:11" x14ac:dyDescent="0.3">
      <c r="B367" s="3"/>
      <c r="C367" s="3"/>
      <c r="D367" s="3"/>
      <c r="E367" s="3"/>
      <c r="F367" s="3"/>
      <c r="G367" s="3"/>
      <c r="H367" s="3"/>
      <c r="I367" s="3"/>
      <c r="J367" s="8"/>
      <c r="K367" s="3"/>
    </row>
    <row r="368" spans="2:11" x14ac:dyDescent="0.3">
      <c r="B368" s="73"/>
      <c r="C368" s="73"/>
      <c r="D368" s="73"/>
      <c r="E368" s="73"/>
      <c r="F368" s="73"/>
      <c r="G368" s="73"/>
      <c r="H368" s="73"/>
      <c r="I368" s="73"/>
      <c r="J368" s="74"/>
      <c r="K368" s="73"/>
    </row>
    <row r="369" spans="2:11" x14ac:dyDescent="0.3">
      <c r="B369" s="3"/>
      <c r="C369" s="3"/>
      <c r="D369" s="3"/>
      <c r="E369" s="3"/>
      <c r="F369" s="3"/>
      <c r="G369" s="3"/>
      <c r="H369" s="3"/>
      <c r="I369" s="3"/>
      <c r="J369" s="8"/>
      <c r="K369" s="3"/>
    </row>
    <row r="370" spans="2:11" x14ac:dyDescent="0.3">
      <c r="B370" s="73"/>
      <c r="C370" s="73"/>
      <c r="D370" s="73"/>
      <c r="E370" s="73"/>
      <c r="F370" s="73"/>
      <c r="G370" s="73"/>
      <c r="H370" s="73"/>
      <c r="I370" s="73"/>
      <c r="J370" s="74"/>
      <c r="K370" s="73"/>
    </row>
    <row r="371" spans="2:11" x14ac:dyDescent="0.3">
      <c r="B371" s="3"/>
      <c r="C371" s="3"/>
      <c r="D371" s="3"/>
      <c r="E371" s="3"/>
      <c r="F371" s="3"/>
      <c r="G371" s="3"/>
      <c r="H371" s="3"/>
      <c r="I371" s="3"/>
      <c r="J371" s="8"/>
      <c r="K371" s="3"/>
    </row>
    <row r="372" spans="2:11" x14ac:dyDescent="0.3">
      <c r="B372" s="73"/>
      <c r="C372" s="73"/>
      <c r="D372" s="73"/>
      <c r="E372" s="73"/>
      <c r="F372" s="73"/>
      <c r="G372" s="73"/>
      <c r="H372" s="73"/>
      <c r="I372" s="73"/>
      <c r="J372" s="74"/>
      <c r="K372" s="73"/>
    </row>
    <row r="373" spans="2:11" x14ac:dyDescent="0.3">
      <c r="B373" s="3"/>
      <c r="C373" s="3"/>
      <c r="D373" s="3"/>
      <c r="E373" s="3"/>
      <c r="F373" s="3"/>
      <c r="G373" s="3"/>
      <c r="H373" s="3"/>
      <c r="I373" s="3"/>
      <c r="J373" s="8"/>
      <c r="K373" s="3"/>
    </row>
    <row r="374" spans="2:11" x14ac:dyDescent="0.3">
      <c r="B374" s="73"/>
      <c r="C374" s="73"/>
      <c r="D374" s="73"/>
      <c r="E374" s="73"/>
      <c r="F374" s="73"/>
      <c r="G374" s="73"/>
      <c r="H374" s="73"/>
      <c r="I374" s="73"/>
      <c r="J374" s="74"/>
      <c r="K374" s="73"/>
    </row>
    <row r="375" spans="2:11" x14ac:dyDescent="0.3">
      <c r="B375" s="3"/>
      <c r="C375" s="3"/>
      <c r="D375" s="3"/>
      <c r="E375" s="3"/>
      <c r="F375" s="3"/>
      <c r="G375" s="3"/>
      <c r="H375" s="3"/>
      <c r="I375" s="3"/>
      <c r="J375" s="8"/>
      <c r="K375" s="3"/>
    </row>
    <row r="376" spans="2:11" x14ac:dyDescent="0.3">
      <c r="B376" s="73"/>
      <c r="C376" s="73"/>
      <c r="D376" s="73"/>
      <c r="E376" s="73"/>
      <c r="F376" s="73"/>
      <c r="G376" s="73"/>
      <c r="H376" s="73"/>
      <c r="I376" s="73"/>
      <c r="J376" s="74"/>
      <c r="K376" s="73"/>
    </row>
    <row r="377" spans="2:11" x14ac:dyDescent="0.3">
      <c r="B377" s="3"/>
      <c r="C377" s="3"/>
      <c r="D377" s="3"/>
      <c r="E377" s="3"/>
      <c r="F377" s="3"/>
      <c r="G377" s="3"/>
      <c r="H377" s="3"/>
      <c r="I377" s="3"/>
      <c r="J377" s="8"/>
      <c r="K377" s="3"/>
    </row>
    <row r="378" spans="2:11" x14ac:dyDescent="0.3">
      <c r="B378" s="73"/>
      <c r="C378" s="73"/>
      <c r="D378" s="73"/>
      <c r="E378" s="73"/>
      <c r="F378" s="73"/>
      <c r="G378" s="73"/>
      <c r="H378" s="73"/>
      <c r="I378" s="73"/>
      <c r="J378" s="74"/>
      <c r="K378" s="73"/>
    </row>
    <row r="379" spans="2:11" x14ac:dyDescent="0.3">
      <c r="B379" s="3"/>
      <c r="C379" s="3"/>
      <c r="D379" s="3"/>
      <c r="E379" s="3"/>
      <c r="F379" s="3"/>
      <c r="G379" s="3"/>
      <c r="H379" s="3"/>
      <c r="I379" s="3"/>
      <c r="J379" s="8"/>
      <c r="K379" s="3"/>
    </row>
    <row r="380" spans="2:11" x14ac:dyDescent="0.3">
      <c r="B380" s="73"/>
      <c r="C380" s="73"/>
      <c r="D380" s="73"/>
      <c r="E380" s="73"/>
      <c r="F380" s="73"/>
      <c r="G380" s="73"/>
      <c r="H380" s="73"/>
      <c r="I380" s="73"/>
      <c r="J380" s="74"/>
      <c r="K380" s="73"/>
    </row>
    <row r="381" spans="2:11" x14ac:dyDescent="0.3">
      <c r="B381" s="3"/>
      <c r="C381" s="3"/>
      <c r="D381" s="3"/>
      <c r="E381" s="3"/>
      <c r="F381" s="3"/>
      <c r="G381" s="3"/>
      <c r="H381" s="3"/>
      <c r="I381" s="3"/>
      <c r="J381" s="8"/>
      <c r="K381" s="3"/>
    </row>
    <row r="382" spans="2:11" x14ac:dyDescent="0.3">
      <c r="B382" s="73"/>
      <c r="C382" s="73"/>
      <c r="D382" s="73"/>
      <c r="E382" s="73"/>
      <c r="F382" s="73"/>
      <c r="G382" s="73"/>
      <c r="H382" s="73"/>
      <c r="I382" s="73"/>
      <c r="J382" s="74"/>
      <c r="K382" s="73"/>
    </row>
    <row r="383" spans="2:11" x14ac:dyDescent="0.3">
      <c r="B383" s="3"/>
      <c r="C383" s="3"/>
      <c r="D383" s="3"/>
      <c r="E383" s="3"/>
      <c r="F383" s="3"/>
      <c r="G383" s="3"/>
      <c r="H383" s="3"/>
      <c r="I383" s="3"/>
      <c r="J383" s="8"/>
      <c r="K383" s="3"/>
    </row>
    <row r="384" spans="2:11" x14ac:dyDescent="0.3">
      <c r="B384" s="73"/>
      <c r="C384" s="73"/>
      <c r="D384" s="73"/>
      <c r="E384" s="73"/>
      <c r="F384" s="73"/>
      <c r="G384" s="73"/>
      <c r="H384" s="73"/>
      <c r="I384" s="73"/>
      <c r="J384" s="74"/>
      <c r="K384" s="73"/>
    </row>
    <row r="385" spans="2:11" x14ac:dyDescent="0.3">
      <c r="B385" s="3"/>
      <c r="C385" s="3"/>
      <c r="D385" s="3"/>
      <c r="E385" s="3"/>
      <c r="F385" s="3"/>
      <c r="G385" s="3"/>
      <c r="H385" s="3"/>
      <c r="I385" s="3"/>
      <c r="J385" s="8"/>
      <c r="K385" s="3"/>
    </row>
    <row r="386" spans="2:11" x14ac:dyDescent="0.3">
      <c r="B386" s="73"/>
      <c r="C386" s="73"/>
      <c r="D386" s="73"/>
      <c r="E386" s="73"/>
      <c r="F386" s="73"/>
      <c r="G386" s="73"/>
      <c r="H386" s="73"/>
      <c r="I386" s="73"/>
      <c r="J386" s="74"/>
      <c r="K386" s="73"/>
    </row>
    <row r="387" spans="2:11" x14ac:dyDescent="0.3">
      <c r="B387" s="3"/>
      <c r="C387" s="3"/>
      <c r="D387" s="3"/>
      <c r="E387" s="3"/>
      <c r="F387" s="3"/>
      <c r="G387" s="3"/>
      <c r="H387" s="3"/>
      <c r="I387" s="3"/>
      <c r="J387" s="8"/>
      <c r="K387" s="3"/>
    </row>
    <row r="388" spans="2:11" x14ac:dyDescent="0.3">
      <c r="B388" s="73"/>
      <c r="C388" s="73"/>
      <c r="D388" s="73"/>
      <c r="E388" s="73"/>
      <c r="F388" s="73"/>
      <c r="G388" s="73"/>
      <c r="H388" s="73"/>
      <c r="I388" s="73"/>
      <c r="J388" s="74"/>
      <c r="K388" s="73"/>
    </row>
    <row r="389" spans="2:11" x14ac:dyDescent="0.3">
      <c r="B389" s="3"/>
      <c r="C389" s="3"/>
      <c r="D389" s="3"/>
      <c r="E389" s="3"/>
      <c r="F389" s="3"/>
      <c r="G389" s="3"/>
      <c r="H389" s="3"/>
      <c r="I389" s="3"/>
      <c r="J389" s="8"/>
      <c r="K389" s="3"/>
    </row>
    <row r="390" spans="2:11" x14ac:dyDescent="0.3">
      <c r="B390" s="73"/>
      <c r="C390" s="73"/>
      <c r="D390" s="73"/>
      <c r="E390" s="73"/>
      <c r="F390" s="73"/>
      <c r="G390" s="73"/>
      <c r="H390" s="73"/>
      <c r="I390" s="73"/>
      <c r="J390" s="74"/>
      <c r="K390" s="73"/>
    </row>
    <row r="391" spans="2:11" x14ac:dyDescent="0.3">
      <c r="B391" s="3"/>
      <c r="C391" s="3"/>
      <c r="D391" s="3"/>
      <c r="E391" s="3"/>
      <c r="F391" s="3"/>
      <c r="G391" s="3"/>
      <c r="H391" s="3"/>
      <c r="I391" s="3"/>
      <c r="J391" s="8"/>
      <c r="K391" s="3"/>
    </row>
    <row r="392" spans="2:11" x14ac:dyDescent="0.3">
      <c r="B392" s="73"/>
      <c r="C392" s="73"/>
      <c r="D392" s="73"/>
      <c r="E392" s="73"/>
      <c r="F392" s="73"/>
      <c r="G392" s="73"/>
      <c r="H392" s="73"/>
      <c r="I392" s="73"/>
      <c r="J392" s="74"/>
      <c r="K392" s="73"/>
    </row>
    <row r="393" spans="2:11" x14ac:dyDescent="0.3">
      <c r="B393" s="3"/>
      <c r="C393" s="3"/>
      <c r="D393" s="3"/>
      <c r="E393" s="3"/>
      <c r="F393" s="3"/>
      <c r="G393" s="3"/>
      <c r="H393" s="3"/>
      <c r="I393" s="3"/>
      <c r="J393" s="8"/>
      <c r="K393" s="3"/>
    </row>
    <row r="394" spans="2:11" x14ac:dyDescent="0.3">
      <c r="B394" s="73"/>
      <c r="C394" s="73"/>
      <c r="D394" s="73"/>
      <c r="E394" s="73"/>
      <c r="F394" s="73"/>
      <c r="G394" s="73"/>
      <c r="H394" s="73"/>
      <c r="I394" s="73"/>
      <c r="J394" s="74"/>
      <c r="K394" s="73"/>
    </row>
    <row r="395" spans="2:11" x14ac:dyDescent="0.3">
      <c r="B395" s="3"/>
      <c r="C395" s="3"/>
      <c r="D395" s="3"/>
      <c r="E395" s="3"/>
      <c r="F395" s="3"/>
      <c r="G395" s="3"/>
      <c r="H395" s="3"/>
      <c r="I395" s="3"/>
      <c r="J395" s="8"/>
      <c r="K395" s="3"/>
    </row>
    <row r="396" spans="2:11" x14ac:dyDescent="0.3">
      <c r="B396" s="73"/>
      <c r="C396" s="73"/>
      <c r="D396" s="73"/>
      <c r="E396" s="73"/>
      <c r="F396" s="73"/>
      <c r="G396" s="73"/>
      <c r="H396" s="73"/>
      <c r="I396" s="73"/>
      <c r="J396" s="74"/>
      <c r="K396" s="73"/>
    </row>
    <row r="397" spans="2:11" x14ac:dyDescent="0.3">
      <c r="B397" s="3"/>
      <c r="C397" s="3"/>
      <c r="D397" s="3"/>
      <c r="E397" s="3"/>
      <c r="F397" s="3"/>
      <c r="G397" s="3"/>
      <c r="H397" s="3"/>
      <c r="I397" s="3"/>
      <c r="J397" s="8"/>
      <c r="K397" s="3"/>
    </row>
    <row r="398" spans="2:11" x14ac:dyDescent="0.3">
      <c r="B398" s="73"/>
      <c r="C398" s="73"/>
      <c r="D398" s="73"/>
      <c r="E398" s="73"/>
      <c r="F398" s="73"/>
      <c r="G398" s="73"/>
      <c r="H398" s="73"/>
      <c r="I398" s="73"/>
      <c r="J398" s="74"/>
      <c r="K398" s="73"/>
    </row>
    <row r="399" spans="2:11" x14ac:dyDescent="0.3">
      <c r="B399" s="3"/>
      <c r="C399" s="3"/>
      <c r="D399" s="3"/>
      <c r="E399" s="3"/>
      <c r="F399" s="3"/>
      <c r="G399" s="3"/>
      <c r="H399" s="3"/>
      <c r="I399" s="3"/>
      <c r="J399" s="8"/>
      <c r="K399" s="3"/>
    </row>
    <row r="400" spans="2:11" x14ac:dyDescent="0.3">
      <c r="B400" s="73"/>
      <c r="C400" s="73"/>
      <c r="D400" s="73"/>
      <c r="E400" s="73"/>
      <c r="F400" s="73"/>
      <c r="G400" s="73"/>
      <c r="H400" s="73"/>
      <c r="I400" s="73"/>
      <c r="J400" s="74"/>
      <c r="K400" s="73"/>
    </row>
    <row r="401" spans="2:11" x14ac:dyDescent="0.3">
      <c r="B401" s="3"/>
      <c r="C401" s="3"/>
      <c r="D401" s="3"/>
      <c r="E401" s="3"/>
      <c r="F401" s="3"/>
      <c r="G401" s="3"/>
      <c r="H401" s="3"/>
      <c r="I401" s="3"/>
      <c r="J401" s="8"/>
      <c r="K401" s="3"/>
    </row>
    <row r="402" spans="2:11" x14ac:dyDescent="0.3">
      <c r="B402" s="73"/>
      <c r="C402" s="73"/>
      <c r="D402" s="73"/>
      <c r="E402" s="73"/>
      <c r="F402" s="73"/>
      <c r="G402" s="73"/>
      <c r="H402" s="73"/>
      <c r="I402" s="73"/>
      <c r="J402" s="74"/>
      <c r="K402" s="73"/>
    </row>
    <row r="403" spans="2:11" x14ac:dyDescent="0.3">
      <c r="B403" s="3"/>
      <c r="C403" s="3"/>
      <c r="D403" s="3"/>
      <c r="E403" s="3"/>
      <c r="F403" s="3"/>
      <c r="G403" s="3"/>
      <c r="H403" s="3"/>
      <c r="I403" s="3"/>
      <c r="J403" s="8"/>
      <c r="K403" s="3"/>
    </row>
    <row r="404" spans="2:11" x14ac:dyDescent="0.3">
      <c r="B404" s="73"/>
      <c r="C404" s="73"/>
      <c r="D404" s="73"/>
      <c r="E404" s="73"/>
      <c r="F404" s="73"/>
      <c r="G404" s="73"/>
      <c r="H404" s="73"/>
      <c r="I404" s="73"/>
      <c r="J404" s="74"/>
      <c r="K404" s="73"/>
    </row>
    <row r="405" spans="2:11" x14ac:dyDescent="0.3">
      <c r="B405" s="3"/>
      <c r="C405" s="3"/>
      <c r="D405" s="3"/>
      <c r="E405" s="3"/>
      <c r="F405" s="3"/>
      <c r="G405" s="3"/>
      <c r="H405" s="3"/>
      <c r="I405" s="3"/>
      <c r="J405" s="8"/>
      <c r="K405" s="3"/>
    </row>
    <row r="406" spans="2:11" x14ac:dyDescent="0.3">
      <c r="B406" s="73"/>
      <c r="C406" s="73"/>
      <c r="D406" s="73"/>
      <c r="E406" s="73"/>
      <c r="F406" s="73"/>
      <c r="G406" s="73"/>
      <c r="H406" s="73"/>
      <c r="I406" s="73"/>
      <c r="J406" s="74"/>
      <c r="K406" s="73"/>
    </row>
    <row r="407" spans="2:11" x14ac:dyDescent="0.3">
      <c r="B407" s="3"/>
      <c r="C407" s="3"/>
      <c r="D407" s="3"/>
      <c r="E407" s="3"/>
      <c r="F407" s="3"/>
      <c r="G407" s="3"/>
      <c r="H407" s="3"/>
      <c r="I407" s="3"/>
      <c r="J407" s="8"/>
      <c r="K407" s="3"/>
    </row>
    <row r="408" spans="2:11" x14ac:dyDescent="0.3">
      <c r="B408" s="73"/>
      <c r="C408" s="73"/>
      <c r="D408" s="73"/>
      <c r="E408" s="73"/>
      <c r="F408" s="73"/>
      <c r="G408" s="73"/>
      <c r="H408" s="73"/>
      <c r="I408" s="73"/>
      <c r="J408" s="74"/>
      <c r="K408" s="73"/>
    </row>
    <row r="409" spans="2:11" x14ac:dyDescent="0.3">
      <c r="B409" s="3"/>
      <c r="C409" s="3"/>
      <c r="D409" s="3"/>
      <c r="E409" s="3"/>
      <c r="F409" s="3"/>
      <c r="G409" s="3"/>
      <c r="H409" s="3"/>
      <c r="I409" s="3"/>
      <c r="J409" s="8"/>
      <c r="K409" s="3"/>
    </row>
    <row r="410" spans="2:11" x14ac:dyDescent="0.3">
      <c r="B410" s="73"/>
      <c r="C410" s="73"/>
      <c r="D410" s="73"/>
      <c r="E410" s="73"/>
      <c r="F410" s="73"/>
      <c r="G410" s="73"/>
      <c r="H410" s="73"/>
      <c r="I410" s="73"/>
      <c r="J410" s="74"/>
      <c r="K410" s="73"/>
    </row>
    <row r="411" spans="2:11" x14ac:dyDescent="0.3">
      <c r="B411" s="3"/>
      <c r="C411" s="3"/>
      <c r="D411" s="3"/>
      <c r="E411" s="3"/>
      <c r="F411" s="3"/>
      <c r="G411" s="3"/>
      <c r="H411" s="3"/>
      <c r="I411" s="3"/>
      <c r="J411" s="8"/>
      <c r="K411" s="3"/>
    </row>
    <row r="412" spans="2:11" x14ac:dyDescent="0.3">
      <c r="B412" s="73"/>
      <c r="C412" s="73"/>
      <c r="D412" s="73"/>
      <c r="E412" s="73"/>
      <c r="F412" s="73"/>
      <c r="G412" s="73"/>
      <c r="H412" s="73"/>
      <c r="I412" s="73"/>
      <c r="J412" s="74"/>
      <c r="K412" s="73"/>
    </row>
    <row r="413" spans="2:11" x14ac:dyDescent="0.3">
      <c r="B413" s="3"/>
      <c r="C413" s="3"/>
      <c r="D413" s="3"/>
      <c r="E413" s="3"/>
      <c r="F413" s="3"/>
      <c r="G413" s="3"/>
      <c r="H413" s="3"/>
      <c r="I413" s="3"/>
      <c r="J413" s="8"/>
      <c r="K413" s="3"/>
    </row>
    <row r="414" spans="2:11" x14ac:dyDescent="0.3">
      <c r="B414" s="73"/>
      <c r="C414" s="73"/>
      <c r="D414" s="73"/>
      <c r="E414" s="73"/>
      <c r="F414" s="73"/>
      <c r="G414" s="73"/>
      <c r="H414" s="73"/>
      <c r="I414" s="73"/>
      <c r="J414" s="74"/>
      <c r="K414" s="73"/>
    </row>
    <row r="415" spans="2:11" x14ac:dyDescent="0.3">
      <c r="B415" s="3"/>
      <c r="C415" s="3"/>
      <c r="D415" s="3"/>
      <c r="E415" s="3"/>
      <c r="F415" s="3"/>
      <c r="G415" s="3"/>
      <c r="H415" s="3"/>
      <c r="I415" s="3"/>
      <c r="J415" s="8"/>
      <c r="K415" s="3"/>
    </row>
    <row r="416" spans="2:11" x14ac:dyDescent="0.3">
      <c r="B416" s="73"/>
      <c r="C416" s="73"/>
      <c r="D416" s="73"/>
      <c r="E416" s="73"/>
      <c r="F416" s="73"/>
      <c r="G416" s="73"/>
      <c r="H416" s="73"/>
      <c r="I416" s="73"/>
      <c r="J416" s="74"/>
      <c r="K416" s="73"/>
    </row>
    <row r="417" spans="2:11" x14ac:dyDescent="0.3">
      <c r="B417" s="3"/>
      <c r="C417" s="3"/>
      <c r="D417" s="3"/>
      <c r="E417" s="3"/>
      <c r="F417" s="3"/>
      <c r="G417" s="3"/>
      <c r="H417" s="3"/>
      <c r="I417" s="3"/>
      <c r="J417" s="8"/>
      <c r="K417" s="3"/>
    </row>
    <row r="418" spans="2:11" x14ac:dyDescent="0.3">
      <c r="B418" s="73"/>
      <c r="C418" s="73"/>
      <c r="D418" s="73"/>
      <c r="E418" s="73"/>
      <c r="F418" s="73"/>
      <c r="G418" s="73"/>
      <c r="H418" s="73"/>
      <c r="I418" s="73"/>
      <c r="J418" s="74"/>
      <c r="K418" s="73"/>
    </row>
    <row r="419" spans="2:11" x14ac:dyDescent="0.3">
      <c r="B419" s="3"/>
      <c r="C419" s="3"/>
      <c r="D419" s="3"/>
      <c r="E419" s="3"/>
      <c r="F419" s="3"/>
      <c r="G419" s="3"/>
      <c r="H419" s="3"/>
      <c r="I419" s="3"/>
      <c r="J419" s="8"/>
      <c r="K419" s="3"/>
    </row>
    <row r="420" spans="2:11" x14ac:dyDescent="0.3">
      <c r="B420" s="73"/>
      <c r="C420" s="73"/>
      <c r="D420" s="73"/>
      <c r="E420" s="73"/>
      <c r="F420" s="73"/>
      <c r="G420" s="73"/>
      <c r="H420" s="73"/>
      <c r="I420" s="73"/>
      <c r="J420" s="74"/>
      <c r="K420" s="73"/>
    </row>
    <row r="421" spans="2:11" x14ac:dyDescent="0.3">
      <c r="B421" s="3"/>
      <c r="C421" s="3"/>
      <c r="D421" s="3"/>
      <c r="E421" s="3"/>
      <c r="F421" s="3"/>
      <c r="G421" s="3"/>
      <c r="H421" s="3"/>
      <c r="I421" s="3"/>
      <c r="J421" s="8"/>
      <c r="K421" s="3"/>
    </row>
    <row r="422" spans="2:11" x14ac:dyDescent="0.3">
      <c r="B422" s="73"/>
      <c r="C422" s="73"/>
      <c r="D422" s="73"/>
      <c r="E422" s="73"/>
      <c r="F422" s="73"/>
      <c r="G422" s="73"/>
      <c r="H422" s="73"/>
      <c r="I422" s="73"/>
      <c r="J422" s="74"/>
      <c r="K422" s="73"/>
    </row>
    <row r="423" spans="2:11" x14ac:dyDescent="0.3">
      <c r="B423" s="3"/>
      <c r="C423" s="3"/>
      <c r="D423" s="3"/>
      <c r="E423" s="3"/>
      <c r="F423" s="3"/>
      <c r="G423" s="3"/>
      <c r="H423" s="3"/>
      <c r="I423" s="3"/>
      <c r="J423" s="8"/>
      <c r="K423" s="3"/>
    </row>
    <row r="424" spans="2:11" x14ac:dyDescent="0.3">
      <c r="B424" s="73"/>
      <c r="C424" s="73"/>
      <c r="D424" s="73"/>
      <c r="E424" s="73"/>
      <c r="F424" s="73"/>
      <c r="G424" s="73"/>
      <c r="H424" s="73"/>
      <c r="I424" s="73"/>
      <c r="J424" s="74"/>
      <c r="K424" s="73"/>
    </row>
    <row r="425" spans="2:11" x14ac:dyDescent="0.3">
      <c r="B425" s="3"/>
      <c r="C425" s="3"/>
      <c r="D425" s="3"/>
      <c r="E425" s="3"/>
      <c r="F425" s="3"/>
      <c r="G425" s="3"/>
      <c r="H425" s="3"/>
      <c r="I425" s="3"/>
      <c r="J425" s="8"/>
      <c r="K425" s="3"/>
    </row>
    <row r="426" spans="2:11" x14ac:dyDescent="0.3">
      <c r="B426" s="73"/>
      <c r="C426" s="73"/>
      <c r="D426" s="73"/>
      <c r="E426" s="73"/>
      <c r="F426" s="73"/>
      <c r="G426" s="73"/>
      <c r="H426" s="73"/>
      <c r="I426" s="73"/>
      <c r="J426" s="74"/>
      <c r="K426" s="73"/>
    </row>
    <row r="427" spans="2:11" x14ac:dyDescent="0.3">
      <c r="B427" s="3"/>
      <c r="C427" s="3"/>
      <c r="D427" s="3"/>
      <c r="E427" s="3"/>
      <c r="F427" s="3"/>
      <c r="G427" s="3"/>
      <c r="H427" s="3"/>
      <c r="I427" s="3"/>
      <c r="J427" s="8"/>
      <c r="K427" s="3"/>
    </row>
    <row r="428" spans="2:11" x14ac:dyDescent="0.3">
      <c r="B428" s="73"/>
      <c r="C428" s="73"/>
      <c r="D428" s="73"/>
      <c r="E428" s="73"/>
      <c r="F428" s="73"/>
      <c r="G428" s="73"/>
      <c r="H428" s="73"/>
      <c r="I428" s="73"/>
      <c r="J428" s="74"/>
      <c r="K428" s="73"/>
    </row>
    <row r="429" spans="2:11" x14ac:dyDescent="0.3">
      <c r="B429" s="3"/>
      <c r="C429" s="5"/>
      <c r="D429" s="5"/>
      <c r="E429" s="5"/>
      <c r="F429" s="5"/>
      <c r="G429" s="3"/>
      <c r="H429" s="5"/>
      <c r="I429" s="3"/>
      <c r="J429" s="11"/>
      <c r="K429" s="5"/>
    </row>
    <row r="430" spans="2:11" x14ac:dyDescent="0.3">
      <c r="B430" s="73"/>
      <c r="C430" s="78"/>
      <c r="D430" s="78"/>
      <c r="E430" s="78"/>
      <c r="F430" s="78"/>
      <c r="G430" s="73"/>
      <c r="H430" s="78"/>
      <c r="I430" s="73"/>
      <c r="J430" s="79"/>
      <c r="K430" s="78"/>
    </row>
    <row r="431" spans="2:11" x14ac:dyDescent="0.3">
      <c r="B431" s="3"/>
      <c r="C431" s="5"/>
      <c r="D431" s="5"/>
      <c r="E431" s="5"/>
      <c r="F431" s="5"/>
      <c r="G431" s="3"/>
      <c r="H431" s="5"/>
      <c r="I431" s="3"/>
      <c r="J431" s="11"/>
      <c r="K431" s="5"/>
    </row>
    <row r="432" spans="2:11" x14ac:dyDescent="0.3">
      <c r="B432" s="73"/>
      <c r="C432" s="78"/>
      <c r="D432" s="78"/>
      <c r="E432" s="78"/>
      <c r="F432" s="78"/>
      <c r="G432" s="73"/>
      <c r="H432" s="78"/>
      <c r="I432" s="73"/>
      <c r="J432" s="79"/>
      <c r="K432" s="78"/>
    </row>
    <row r="433" spans="2:11" x14ac:dyDescent="0.3">
      <c r="B433" s="3"/>
      <c r="C433" s="5"/>
      <c r="D433" s="5"/>
      <c r="E433" s="5"/>
      <c r="F433" s="5"/>
      <c r="G433" s="3"/>
      <c r="H433" s="5"/>
      <c r="I433" s="3"/>
      <c r="J433" s="11"/>
      <c r="K433" s="5"/>
    </row>
    <row r="434" spans="2:11" x14ac:dyDescent="0.3">
      <c r="B434" s="73"/>
      <c r="C434" s="78"/>
      <c r="D434" s="78"/>
      <c r="E434" s="78"/>
      <c r="F434" s="78"/>
      <c r="G434" s="73"/>
      <c r="H434" s="78"/>
      <c r="I434" s="73"/>
      <c r="J434" s="79"/>
      <c r="K434" s="78"/>
    </row>
    <row r="435" spans="2:11" x14ac:dyDescent="0.3">
      <c r="B435" s="3"/>
      <c r="C435" s="5"/>
      <c r="D435" s="5"/>
      <c r="E435" s="5"/>
      <c r="F435" s="5"/>
      <c r="G435" s="3"/>
      <c r="H435" s="5"/>
      <c r="I435" s="3"/>
      <c r="J435" s="11"/>
      <c r="K435" s="5"/>
    </row>
    <row r="436" spans="2:11" x14ac:dyDescent="0.3">
      <c r="B436" s="73"/>
      <c r="C436" s="78"/>
      <c r="D436" s="78"/>
      <c r="E436" s="78"/>
      <c r="F436" s="78"/>
      <c r="G436" s="73"/>
      <c r="H436" s="78"/>
      <c r="I436" s="73"/>
      <c r="J436" s="79"/>
      <c r="K436" s="78"/>
    </row>
    <row r="437" spans="2:11" x14ac:dyDescent="0.3">
      <c r="B437" s="3"/>
      <c r="C437" s="5"/>
      <c r="D437" s="5"/>
      <c r="E437" s="5"/>
      <c r="F437" s="5"/>
      <c r="G437" s="3"/>
      <c r="H437" s="5"/>
      <c r="I437" s="3"/>
      <c r="J437" s="11"/>
      <c r="K437" s="5"/>
    </row>
    <row r="438" spans="2:11" x14ac:dyDescent="0.3">
      <c r="B438" s="73"/>
      <c r="C438" s="78"/>
      <c r="D438" s="78"/>
      <c r="E438" s="78"/>
      <c r="F438" s="78"/>
      <c r="G438" s="73"/>
      <c r="H438" s="78"/>
      <c r="I438" s="73"/>
      <c r="J438" s="79"/>
      <c r="K438" s="78"/>
    </row>
    <row r="439" spans="2:11" x14ac:dyDescent="0.3">
      <c r="B439" s="3"/>
      <c r="C439" s="5"/>
      <c r="D439" s="5"/>
      <c r="E439" s="5"/>
      <c r="F439" s="5"/>
      <c r="G439" s="3"/>
      <c r="H439" s="5"/>
      <c r="I439" s="3"/>
      <c r="J439" s="11"/>
      <c r="K439" s="5"/>
    </row>
    <row r="440" spans="2:11" x14ac:dyDescent="0.3">
      <c r="B440" s="73"/>
      <c r="C440" s="78"/>
      <c r="D440" s="78"/>
      <c r="E440" s="78"/>
      <c r="F440" s="78"/>
      <c r="G440" s="73"/>
      <c r="H440" s="78"/>
      <c r="I440" s="73"/>
      <c r="J440" s="79"/>
      <c r="K440" s="78"/>
    </row>
    <row r="441" spans="2:11" x14ac:dyDescent="0.3">
      <c r="B441" s="3"/>
      <c r="C441" s="5"/>
      <c r="D441" s="5"/>
      <c r="E441" s="5"/>
      <c r="F441" s="5"/>
      <c r="G441" s="3"/>
      <c r="H441" s="5"/>
      <c r="I441" s="3"/>
      <c r="J441" s="11"/>
      <c r="K441" s="5"/>
    </row>
    <row r="442" spans="2:11" x14ac:dyDescent="0.3">
      <c r="B442" s="73"/>
      <c r="C442" s="78"/>
      <c r="D442" s="78"/>
      <c r="E442" s="78"/>
      <c r="F442" s="78"/>
      <c r="G442" s="73"/>
      <c r="H442" s="78"/>
      <c r="I442" s="73"/>
      <c r="J442" s="79"/>
      <c r="K442" s="78"/>
    </row>
    <row r="443" spans="2:11" x14ac:dyDescent="0.3">
      <c r="B443" s="3"/>
      <c r="C443" s="5"/>
      <c r="D443" s="5"/>
      <c r="E443" s="5"/>
      <c r="F443" s="5"/>
      <c r="G443" s="3"/>
      <c r="H443" s="5"/>
      <c r="I443" s="3"/>
      <c r="J443" s="11"/>
      <c r="K443" s="5"/>
    </row>
    <row r="444" spans="2:11" x14ac:dyDescent="0.3">
      <c r="B444" s="73"/>
      <c r="C444" s="78"/>
      <c r="D444" s="78"/>
      <c r="E444" s="78"/>
      <c r="F444" s="78"/>
      <c r="G444" s="73"/>
      <c r="H444" s="78"/>
      <c r="I444" s="73"/>
      <c r="J444" s="79"/>
      <c r="K444" s="78"/>
    </row>
    <row r="445" spans="2:11" x14ac:dyDescent="0.3">
      <c r="B445" s="3"/>
      <c r="C445" s="5"/>
      <c r="D445" s="5"/>
      <c r="E445" s="5"/>
      <c r="F445" s="5"/>
      <c r="G445" s="3"/>
      <c r="H445" s="5"/>
      <c r="I445" s="3"/>
      <c r="J445" s="11"/>
      <c r="K445" s="5"/>
    </row>
    <row r="446" spans="2:11" x14ac:dyDescent="0.3">
      <c r="B446" s="73"/>
      <c r="C446" s="75"/>
      <c r="D446" s="75"/>
      <c r="E446" s="75"/>
      <c r="F446" s="75"/>
      <c r="G446" s="73"/>
      <c r="H446" s="75"/>
      <c r="I446" s="73"/>
      <c r="J446" s="76"/>
      <c r="K446" s="75"/>
    </row>
    <row r="447" spans="2:11" x14ac:dyDescent="0.3">
      <c r="B447" s="3"/>
      <c r="C447" s="1"/>
      <c r="D447" s="1"/>
      <c r="E447" s="1"/>
      <c r="F447" s="1"/>
      <c r="G447" s="3"/>
      <c r="H447" s="1"/>
      <c r="I447" s="3"/>
      <c r="J447" s="9"/>
      <c r="K447" s="1"/>
    </row>
    <row r="448" spans="2:11" x14ac:dyDescent="0.3">
      <c r="B448" s="73"/>
      <c r="C448" s="75"/>
      <c r="D448" s="75"/>
      <c r="E448" s="75"/>
      <c r="F448" s="75"/>
      <c r="G448" s="73"/>
      <c r="H448" s="75"/>
      <c r="I448" s="73"/>
      <c r="J448" s="76"/>
      <c r="K448" s="75"/>
    </row>
    <row r="449" spans="2:11" x14ac:dyDescent="0.3">
      <c r="B449" s="3"/>
      <c r="C449" s="1"/>
      <c r="D449" s="1"/>
      <c r="E449" s="1"/>
      <c r="F449" s="1"/>
      <c r="G449" s="3"/>
      <c r="H449" s="1"/>
      <c r="I449" s="3"/>
      <c r="J449" s="9"/>
      <c r="K449" s="1"/>
    </row>
    <row r="450" spans="2:11" x14ac:dyDescent="0.3">
      <c r="B450" s="73"/>
      <c r="C450" s="75"/>
      <c r="D450" s="75"/>
      <c r="E450" s="75"/>
      <c r="F450" s="75"/>
      <c r="G450" s="73"/>
      <c r="H450" s="75"/>
      <c r="I450" s="73"/>
      <c r="J450" s="76"/>
      <c r="K450" s="75"/>
    </row>
    <row r="451" spans="2:11" x14ac:dyDescent="0.3">
      <c r="B451" s="3"/>
      <c r="C451" s="1"/>
      <c r="D451" s="1"/>
      <c r="E451" s="1"/>
      <c r="F451" s="1"/>
      <c r="G451" s="3"/>
      <c r="H451" s="1"/>
      <c r="I451" s="3"/>
      <c r="J451" s="9"/>
      <c r="K451" s="1"/>
    </row>
    <row r="452" spans="2:11" x14ac:dyDescent="0.3">
      <c r="B452" s="73"/>
      <c r="C452" s="75"/>
      <c r="D452" s="75"/>
      <c r="E452" s="75"/>
      <c r="F452" s="75"/>
      <c r="G452" s="73"/>
      <c r="H452" s="75"/>
      <c r="I452" s="73"/>
      <c r="J452" s="76"/>
      <c r="K452" s="75"/>
    </row>
    <row r="453" spans="2:11" x14ac:dyDescent="0.3">
      <c r="B453" s="3"/>
      <c r="C453" s="1"/>
      <c r="D453" s="1"/>
      <c r="E453" s="1"/>
      <c r="F453" s="1"/>
      <c r="G453" s="3"/>
      <c r="H453" s="1"/>
      <c r="I453" s="3"/>
      <c r="J453" s="9"/>
      <c r="K453" s="1"/>
    </row>
    <row r="454" spans="2:11" x14ac:dyDescent="0.3">
      <c r="B454" s="73"/>
      <c r="C454" s="75"/>
      <c r="D454" s="75"/>
      <c r="E454" s="75"/>
      <c r="F454" s="75"/>
      <c r="G454" s="73"/>
      <c r="H454" s="75"/>
      <c r="I454" s="73"/>
      <c r="J454" s="76"/>
      <c r="K454" s="75"/>
    </row>
    <row r="455" spans="2:11" x14ac:dyDescent="0.3">
      <c r="B455" s="3"/>
      <c r="C455" s="1"/>
      <c r="D455" s="1"/>
      <c r="E455" s="1"/>
      <c r="F455" s="1"/>
      <c r="G455" s="3"/>
      <c r="H455" s="1"/>
      <c r="I455" s="3"/>
      <c r="J455" s="9"/>
      <c r="K455" s="1"/>
    </row>
    <row r="456" spans="2:11" x14ac:dyDescent="0.3">
      <c r="B456" s="73"/>
      <c r="C456" s="75"/>
      <c r="D456" s="75"/>
      <c r="E456" s="75"/>
      <c r="F456" s="75"/>
      <c r="G456" s="73"/>
      <c r="H456" s="75"/>
      <c r="I456" s="73"/>
      <c r="J456" s="76"/>
      <c r="K456" s="75"/>
    </row>
    <row r="457" spans="2:11" x14ac:dyDescent="0.3">
      <c r="B457" s="3"/>
      <c r="C457" s="1"/>
      <c r="D457" s="1"/>
      <c r="E457" s="1"/>
      <c r="F457" s="1"/>
      <c r="G457" s="3"/>
      <c r="H457" s="1"/>
      <c r="I457" s="3"/>
      <c r="J457" s="9"/>
      <c r="K457" s="1"/>
    </row>
    <row r="458" spans="2:11" x14ac:dyDescent="0.3">
      <c r="B458" s="73"/>
      <c r="C458" s="75"/>
      <c r="D458" s="75"/>
      <c r="E458" s="75"/>
      <c r="F458" s="75"/>
      <c r="G458" s="73"/>
      <c r="H458" s="75"/>
      <c r="I458" s="73"/>
      <c r="J458" s="76"/>
      <c r="K458" s="75"/>
    </row>
    <row r="459" spans="2:11" x14ac:dyDescent="0.3">
      <c r="B459" s="3"/>
      <c r="C459" s="1"/>
      <c r="D459" s="1"/>
      <c r="E459" s="1"/>
      <c r="F459" s="1"/>
      <c r="G459" s="3"/>
      <c r="H459" s="1"/>
      <c r="I459" s="3"/>
      <c r="J459" s="9"/>
      <c r="K459" s="1"/>
    </row>
    <row r="460" spans="2:11" x14ac:dyDescent="0.3">
      <c r="B460" s="73"/>
      <c r="C460" s="75"/>
      <c r="D460" s="75"/>
      <c r="E460" s="75"/>
      <c r="F460" s="75"/>
      <c r="G460" s="73"/>
      <c r="H460" s="75"/>
      <c r="I460" s="73"/>
      <c r="J460" s="76"/>
      <c r="K460" s="75"/>
    </row>
    <row r="461" spans="2:11" x14ac:dyDescent="0.3">
      <c r="B461" s="3"/>
      <c r="C461" s="1"/>
      <c r="D461" s="1"/>
      <c r="E461" s="1"/>
      <c r="F461" s="1"/>
      <c r="G461" s="3"/>
      <c r="H461" s="1"/>
      <c r="I461" s="3"/>
      <c r="J461" s="9"/>
      <c r="K461" s="1"/>
    </row>
    <row r="462" spans="2:11" x14ac:dyDescent="0.3">
      <c r="B462" s="73"/>
      <c r="C462" s="75"/>
      <c r="D462" s="75"/>
      <c r="E462" s="75"/>
      <c r="F462" s="75"/>
      <c r="G462" s="73"/>
      <c r="H462" s="75"/>
      <c r="I462" s="73"/>
      <c r="J462" s="76"/>
      <c r="K462" s="75"/>
    </row>
    <row r="463" spans="2:11" x14ac:dyDescent="0.3">
      <c r="B463" s="3"/>
      <c r="C463" s="1"/>
      <c r="D463" s="1"/>
      <c r="E463" s="1"/>
      <c r="F463" s="1"/>
      <c r="G463" s="3"/>
      <c r="H463" s="1"/>
      <c r="I463" s="3"/>
      <c r="J463" s="9"/>
      <c r="K463" s="1"/>
    </row>
    <row r="464" spans="2:11" x14ac:dyDescent="0.3">
      <c r="B464" s="73"/>
      <c r="C464" s="75"/>
      <c r="D464" s="75"/>
      <c r="E464" s="75"/>
      <c r="F464" s="75"/>
      <c r="G464" s="73"/>
      <c r="H464" s="75"/>
      <c r="I464" s="73"/>
      <c r="J464" s="76"/>
      <c r="K464" s="75"/>
    </row>
    <row r="465" spans="2:11" x14ac:dyDescent="0.3">
      <c r="B465" s="3"/>
      <c r="C465" s="1"/>
      <c r="D465" s="1"/>
      <c r="E465" s="1"/>
      <c r="F465" s="1"/>
      <c r="G465" s="3"/>
      <c r="H465" s="1"/>
      <c r="I465" s="3"/>
      <c r="J465" s="9"/>
      <c r="K465" s="1"/>
    </row>
    <row r="466" spans="2:11" x14ac:dyDescent="0.3">
      <c r="B466" s="73"/>
      <c r="C466" s="75"/>
      <c r="D466" s="75"/>
      <c r="E466" s="75"/>
      <c r="F466" s="75"/>
      <c r="G466" s="73"/>
      <c r="H466" s="75"/>
      <c r="I466" s="73"/>
      <c r="J466" s="76"/>
      <c r="K466" s="75"/>
    </row>
    <row r="467" spans="2:11" x14ac:dyDescent="0.3">
      <c r="B467" s="3"/>
      <c r="C467" s="1"/>
      <c r="D467" s="1"/>
      <c r="E467" s="1"/>
      <c r="F467" s="1"/>
      <c r="G467" s="3"/>
      <c r="H467" s="1"/>
      <c r="I467" s="3"/>
      <c r="J467" s="9"/>
      <c r="K467" s="1"/>
    </row>
    <row r="468" spans="2:11" x14ac:dyDescent="0.3">
      <c r="B468" s="73"/>
      <c r="C468" s="75"/>
      <c r="D468" s="75"/>
      <c r="E468" s="75"/>
      <c r="F468" s="75"/>
      <c r="G468" s="73"/>
      <c r="H468" s="75"/>
      <c r="I468" s="73"/>
      <c r="J468" s="76"/>
      <c r="K468" s="75"/>
    </row>
    <row r="469" spans="2:11" x14ac:dyDescent="0.3">
      <c r="B469" s="3"/>
      <c r="C469" s="1"/>
      <c r="D469" s="1"/>
      <c r="E469" s="1"/>
      <c r="F469" s="1"/>
      <c r="G469" s="3"/>
      <c r="H469" s="1"/>
      <c r="I469" s="3"/>
      <c r="J469" s="9"/>
      <c r="K469" s="1"/>
    </row>
    <row r="470" spans="2:11" x14ac:dyDescent="0.3">
      <c r="B470" s="73"/>
      <c r="C470" s="75"/>
      <c r="D470" s="75"/>
      <c r="E470" s="75"/>
      <c r="F470" s="75"/>
      <c r="G470" s="73"/>
      <c r="H470" s="75"/>
      <c r="I470" s="73"/>
      <c r="J470" s="76"/>
      <c r="K470" s="75"/>
    </row>
    <row r="471" spans="2:11" x14ac:dyDescent="0.3">
      <c r="B471" s="3"/>
      <c r="C471" s="1"/>
      <c r="D471" s="1"/>
      <c r="E471" s="1"/>
      <c r="F471" s="1"/>
      <c r="G471" s="3"/>
      <c r="H471" s="1"/>
      <c r="I471" s="3"/>
      <c r="J471" s="9"/>
      <c r="K471" s="1"/>
    </row>
    <row r="472" spans="2:11" x14ac:dyDescent="0.3">
      <c r="B472" s="73"/>
      <c r="C472" s="75"/>
      <c r="D472" s="75"/>
      <c r="E472" s="75"/>
      <c r="F472" s="75"/>
      <c r="G472" s="73"/>
      <c r="H472" s="75"/>
      <c r="I472" s="73"/>
      <c r="J472" s="76"/>
      <c r="K472" s="75"/>
    </row>
    <row r="473" spans="2:11" x14ac:dyDescent="0.3">
      <c r="B473" s="3"/>
      <c r="C473" s="1"/>
      <c r="D473" s="1"/>
      <c r="E473" s="1"/>
      <c r="F473" s="1"/>
      <c r="G473" s="3"/>
      <c r="H473" s="1"/>
      <c r="I473" s="3"/>
      <c r="J473" s="9"/>
      <c r="K473" s="1"/>
    </row>
    <row r="474" spans="2:11" x14ac:dyDescent="0.3">
      <c r="B474" s="73"/>
      <c r="C474" s="75"/>
      <c r="D474" s="75"/>
      <c r="E474" s="75"/>
      <c r="F474" s="75"/>
      <c r="G474" s="73"/>
      <c r="H474" s="75"/>
      <c r="I474" s="73"/>
      <c r="J474" s="76"/>
      <c r="K474" s="75"/>
    </row>
    <row r="475" spans="2:11" x14ac:dyDescent="0.3">
      <c r="B475" s="3"/>
      <c r="C475" s="1"/>
      <c r="D475" s="1"/>
      <c r="E475" s="1"/>
      <c r="F475" s="1"/>
      <c r="G475" s="3"/>
      <c r="H475" s="1"/>
      <c r="I475" s="3"/>
      <c r="J475" s="9"/>
      <c r="K475" s="1"/>
    </row>
    <row r="476" spans="2:11" x14ac:dyDescent="0.3">
      <c r="B476" s="73"/>
      <c r="C476" s="75"/>
      <c r="D476" s="75"/>
      <c r="E476" s="75"/>
      <c r="F476" s="75"/>
      <c r="G476" s="73"/>
      <c r="H476" s="75"/>
      <c r="I476" s="73"/>
      <c r="J476" s="76"/>
      <c r="K476" s="75"/>
    </row>
    <row r="477" spans="2:11" x14ac:dyDescent="0.3">
      <c r="B477" s="3"/>
      <c r="C477" s="1"/>
      <c r="D477" s="1"/>
      <c r="E477" s="1"/>
      <c r="F477" s="1"/>
      <c r="G477" s="3"/>
      <c r="H477" s="1"/>
      <c r="I477" s="3"/>
      <c r="J477" s="9"/>
      <c r="K477" s="1"/>
    </row>
    <row r="478" spans="2:11" x14ac:dyDescent="0.3">
      <c r="B478" s="73"/>
      <c r="C478" s="75"/>
      <c r="D478" s="75"/>
      <c r="E478" s="75"/>
      <c r="F478" s="75"/>
      <c r="G478" s="73"/>
      <c r="H478" s="75"/>
      <c r="I478" s="73"/>
      <c r="J478" s="76"/>
      <c r="K478" s="75"/>
    </row>
    <row r="479" spans="2:11" x14ac:dyDescent="0.3">
      <c r="B479" s="3"/>
      <c r="C479" s="1"/>
      <c r="D479" s="1"/>
      <c r="E479" s="1"/>
      <c r="F479" s="1"/>
      <c r="G479" s="3"/>
      <c r="H479" s="1"/>
      <c r="I479" s="3"/>
      <c r="J479" s="9"/>
      <c r="K479" s="1"/>
    </row>
    <row r="480" spans="2:11" x14ac:dyDescent="0.3">
      <c r="B480" s="73"/>
      <c r="C480" s="73"/>
      <c r="D480" s="73"/>
      <c r="E480" s="73"/>
      <c r="F480" s="73"/>
      <c r="G480" s="73"/>
      <c r="H480" s="73"/>
      <c r="I480" s="73"/>
      <c r="J480" s="76"/>
      <c r="K480" s="73"/>
    </row>
    <row r="481" spans="2:11" x14ac:dyDescent="0.3">
      <c r="B481" s="3"/>
      <c r="C481" s="3"/>
      <c r="D481" s="3"/>
      <c r="E481" s="3"/>
      <c r="F481" s="3"/>
      <c r="G481" s="3"/>
      <c r="H481" s="3"/>
      <c r="I481" s="3"/>
      <c r="J481" s="8"/>
      <c r="K481" s="3"/>
    </row>
    <row r="482" spans="2:11" x14ac:dyDescent="0.3">
      <c r="B482" s="73"/>
      <c r="C482" s="73"/>
      <c r="D482" s="73"/>
      <c r="E482" s="73"/>
      <c r="F482" s="73"/>
      <c r="G482" s="73"/>
      <c r="H482" s="73"/>
      <c r="I482" s="73"/>
      <c r="J482" s="74"/>
      <c r="K482" s="73"/>
    </row>
    <row r="483" spans="2:11" x14ac:dyDescent="0.3">
      <c r="B483" s="3"/>
      <c r="C483" s="3"/>
      <c r="D483" s="3"/>
      <c r="E483" s="3"/>
      <c r="F483" s="3"/>
      <c r="G483" s="3"/>
      <c r="H483" s="3"/>
      <c r="I483" s="3"/>
      <c r="J483" s="8"/>
      <c r="K483" s="3"/>
    </row>
    <row r="484" spans="2:11" x14ac:dyDescent="0.3">
      <c r="B484" s="73"/>
      <c r="C484" s="73"/>
      <c r="D484" s="73"/>
      <c r="E484" s="73"/>
      <c r="F484" s="73"/>
      <c r="G484" s="73"/>
      <c r="H484" s="73"/>
      <c r="I484" s="73"/>
      <c r="J484" s="74"/>
      <c r="K484" s="73"/>
    </row>
    <row r="485" spans="2:11" x14ac:dyDescent="0.3">
      <c r="B485" s="3"/>
      <c r="C485" s="3"/>
      <c r="D485" s="3"/>
      <c r="E485" s="3"/>
      <c r="F485" s="3"/>
      <c r="G485" s="3"/>
      <c r="H485" s="3"/>
      <c r="I485" s="3"/>
      <c r="J485" s="8"/>
      <c r="K485" s="3"/>
    </row>
    <row r="486" spans="2:11" x14ac:dyDescent="0.3">
      <c r="B486" s="73"/>
      <c r="C486" s="73"/>
      <c r="D486" s="73"/>
      <c r="E486" s="73"/>
      <c r="F486" s="73"/>
      <c r="G486" s="73"/>
      <c r="H486" s="73"/>
      <c r="I486" s="73"/>
      <c r="J486" s="74"/>
      <c r="K486" s="73"/>
    </row>
    <row r="487" spans="2:11" x14ac:dyDescent="0.3">
      <c r="B487" s="3"/>
      <c r="C487" s="3"/>
      <c r="D487" s="3"/>
      <c r="E487" s="3"/>
      <c r="F487" s="3"/>
      <c r="G487" s="3"/>
      <c r="H487" s="3"/>
      <c r="I487" s="3"/>
      <c r="J487" s="8"/>
      <c r="K487" s="3"/>
    </row>
    <row r="488" spans="2:11" x14ac:dyDescent="0.3">
      <c r="B488" s="73"/>
      <c r="C488" s="73"/>
      <c r="D488" s="73"/>
      <c r="E488" s="73"/>
      <c r="F488" s="73"/>
      <c r="G488" s="73"/>
      <c r="H488" s="73"/>
      <c r="I488" s="73"/>
      <c r="J488" s="74"/>
      <c r="K488" s="73"/>
    </row>
    <row r="489" spans="2:11" x14ac:dyDescent="0.3">
      <c r="B489" s="3"/>
      <c r="C489" s="3"/>
      <c r="D489" s="3"/>
      <c r="E489" s="3"/>
      <c r="F489" s="3"/>
      <c r="G489" s="3"/>
      <c r="H489" s="3"/>
      <c r="I489" s="3"/>
      <c r="J489" s="8"/>
      <c r="K489" s="3"/>
    </row>
    <row r="490" spans="2:11" x14ac:dyDescent="0.3">
      <c r="B490" s="73"/>
      <c r="C490" s="73"/>
      <c r="D490" s="73"/>
      <c r="E490" s="73"/>
      <c r="F490" s="73"/>
      <c r="G490" s="73"/>
      <c r="H490" s="73"/>
      <c r="I490" s="73"/>
      <c r="J490" s="74"/>
      <c r="K490" s="73"/>
    </row>
    <row r="491" spans="2:11" x14ac:dyDescent="0.3">
      <c r="B491" s="3"/>
      <c r="C491" s="3"/>
      <c r="D491" s="3"/>
      <c r="E491" s="3"/>
      <c r="F491" s="3"/>
      <c r="G491" s="3"/>
      <c r="H491" s="3"/>
      <c r="I491" s="3"/>
      <c r="J491" s="8"/>
      <c r="K491" s="3"/>
    </row>
    <row r="492" spans="2:11" x14ac:dyDescent="0.3">
      <c r="B492" s="73"/>
      <c r="C492" s="77"/>
      <c r="D492" s="73"/>
      <c r="E492" s="73"/>
      <c r="F492" s="73"/>
      <c r="G492" s="73"/>
      <c r="H492" s="73"/>
      <c r="I492" s="73"/>
      <c r="J492" s="74"/>
      <c r="K492" s="73"/>
    </row>
    <row r="493" spans="2:11" x14ac:dyDescent="0.3">
      <c r="B493" s="3"/>
      <c r="C493" s="3"/>
      <c r="D493" s="3"/>
      <c r="E493" s="3"/>
      <c r="F493" s="3"/>
      <c r="G493" s="3"/>
      <c r="H493" s="3"/>
      <c r="I493" s="3"/>
      <c r="J493" s="8"/>
      <c r="K493" s="3"/>
    </row>
    <row r="494" spans="2:11" x14ac:dyDescent="0.3">
      <c r="B494" s="73"/>
      <c r="C494" s="73"/>
      <c r="D494" s="73"/>
      <c r="E494" s="73"/>
      <c r="F494" s="73"/>
      <c r="G494" s="73"/>
      <c r="H494" s="73"/>
      <c r="I494" s="73"/>
      <c r="J494" s="74"/>
      <c r="K494" s="73"/>
    </row>
    <row r="495" spans="2:11" x14ac:dyDescent="0.3">
      <c r="B495" s="3"/>
      <c r="C495" s="3"/>
      <c r="D495" s="3"/>
      <c r="E495" s="3"/>
      <c r="F495" s="3"/>
      <c r="G495" s="3"/>
      <c r="H495" s="3"/>
      <c r="I495" s="3"/>
      <c r="J495" s="8"/>
      <c r="K495" s="3"/>
    </row>
    <row r="496" spans="2:11" x14ac:dyDescent="0.3">
      <c r="B496" s="73"/>
      <c r="C496" s="73"/>
      <c r="D496" s="73"/>
      <c r="E496" s="73"/>
      <c r="F496" s="73"/>
      <c r="G496" s="73"/>
      <c r="H496" s="73"/>
      <c r="I496" s="73"/>
      <c r="J496" s="74"/>
      <c r="K496" s="73"/>
    </row>
    <row r="497" spans="2:11" x14ac:dyDescent="0.3">
      <c r="B497" s="3"/>
      <c r="C497" s="3"/>
      <c r="D497" s="3"/>
      <c r="E497" s="3"/>
      <c r="F497" s="3"/>
      <c r="G497" s="3"/>
      <c r="H497" s="3"/>
      <c r="I497" s="3"/>
      <c r="J497" s="8"/>
      <c r="K497" s="3"/>
    </row>
    <row r="498" spans="2:11" x14ac:dyDescent="0.3">
      <c r="B498" s="73"/>
      <c r="C498" s="73"/>
      <c r="D498" s="73"/>
      <c r="E498" s="73"/>
      <c r="F498" s="73"/>
      <c r="G498" s="73"/>
      <c r="H498" s="73"/>
      <c r="I498" s="73"/>
      <c r="J498" s="74"/>
      <c r="K498" s="73"/>
    </row>
    <row r="499" spans="2:11" x14ac:dyDescent="0.3">
      <c r="B499" s="3"/>
      <c r="C499" s="3"/>
      <c r="D499" s="3"/>
      <c r="E499" s="3"/>
      <c r="F499" s="3"/>
      <c r="G499" s="3"/>
      <c r="H499" s="3"/>
      <c r="I499" s="3"/>
      <c r="J499" s="8"/>
      <c r="K499" s="3"/>
    </row>
    <row r="500" spans="2:11" x14ac:dyDescent="0.3">
      <c r="B500" s="73"/>
      <c r="C500" s="73"/>
      <c r="D500" s="73"/>
      <c r="E500" s="73"/>
      <c r="F500" s="73"/>
      <c r="G500" s="73"/>
      <c r="H500" s="73"/>
      <c r="I500" s="73"/>
      <c r="J500" s="74"/>
      <c r="K500" s="73"/>
    </row>
    <row r="501" spans="2:11" x14ac:dyDescent="0.3">
      <c r="B501" s="3"/>
      <c r="C501" s="3"/>
      <c r="D501" s="3"/>
      <c r="E501" s="3"/>
      <c r="F501" s="3"/>
      <c r="G501" s="3"/>
      <c r="H501" s="3"/>
      <c r="I501" s="3"/>
      <c r="J501" s="8"/>
      <c r="K501" s="3"/>
    </row>
    <row r="502" spans="2:11" x14ac:dyDescent="0.3">
      <c r="B502" s="73"/>
      <c r="C502" s="73"/>
      <c r="D502" s="73"/>
      <c r="E502" s="73"/>
      <c r="F502" s="73"/>
      <c r="G502" s="73"/>
      <c r="H502" s="73"/>
      <c r="I502" s="73"/>
      <c r="J502" s="74"/>
      <c r="K502" s="73"/>
    </row>
    <row r="503" spans="2:11" x14ac:dyDescent="0.3">
      <c r="B503" s="3"/>
      <c r="C503" s="3"/>
      <c r="D503" s="3"/>
      <c r="E503" s="3"/>
      <c r="F503" s="3"/>
      <c r="G503" s="3"/>
      <c r="H503" s="3"/>
      <c r="I503" s="3"/>
      <c r="J503" s="8"/>
      <c r="K503" s="3"/>
    </row>
    <row r="504" spans="2:11" x14ac:dyDescent="0.3">
      <c r="B504" s="73"/>
      <c r="C504" s="73"/>
      <c r="D504" s="73"/>
      <c r="E504" s="73"/>
      <c r="F504" s="73"/>
      <c r="G504" s="73"/>
      <c r="H504" s="73"/>
      <c r="I504" s="73"/>
      <c r="J504" s="80"/>
      <c r="K504" s="73"/>
    </row>
    <row r="505" spans="2:11" x14ac:dyDescent="0.3">
      <c r="B505" s="3"/>
      <c r="C505" s="3"/>
      <c r="D505" s="3"/>
      <c r="E505" s="3"/>
      <c r="F505" s="3"/>
      <c r="G505" s="3"/>
      <c r="H505" s="3"/>
      <c r="I505" s="3"/>
      <c r="J505" s="8"/>
      <c r="K505" s="3"/>
    </row>
    <row r="506" spans="2:11" x14ac:dyDescent="0.3">
      <c r="B506" s="73"/>
      <c r="C506" s="73"/>
      <c r="D506" s="73"/>
      <c r="E506" s="73"/>
      <c r="F506" s="73"/>
      <c r="G506" s="73"/>
      <c r="H506" s="73"/>
      <c r="I506" s="73"/>
      <c r="J506" s="74"/>
      <c r="K506" s="73"/>
    </row>
    <row r="507" spans="2:11" x14ac:dyDescent="0.3">
      <c r="B507" s="3"/>
      <c r="C507" s="3"/>
      <c r="D507" s="3"/>
      <c r="E507" s="3"/>
      <c r="F507" s="3"/>
      <c r="G507" s="3"/>
      <c r="H507" s="3"/>
      <c r="I507" s="3"/>
      <c r="J507" s="8"/>
      <c r="K507" s="3"/>
    </row>
    <row r="508" spans="2:11" x14ac:dyDescent="0.3">
      <c r="B508" s="73"/>
      <c r="C508" s="73"/>
      <c r="D508" s="73"/>
      <c r="E508" s="73"/>
      <c r="F508" s="73"/>
      <c r="G508" s="73"/>
      <c r="H508" s="73"/>
      <c r="I508" s="73"/>
      <c r="J508" s="74"/>
      <c r="K508" s="73"/>
    </row>
    <row r="509" spans="2:11" x14ac:dyDescent="0.3">
      <c r="B509" s="3"/>
      <c r="C509" s="3"/>
      <c r="D509" s="3"/>
      <c r="E509" s="3"/>
      <c r="F509" s="3"/>
      <c r="G509" s="3"/>
      <c r="H509" s="3"/>
      <c r="I509" s="3"/>
      <c r="J509" s="8"/>
      <c r="K509" s="3"/>
    </row>
    <row r="510" spans="2:11" x14ac:dyDescent="0.3">
      <c r="B510" s="73"/>
      <c r="C510" s="73"/>
      <c r="D510" s="73"/>
      <c r="E510" s="73"/>
      <c r="F510" s="73"/>
      <c r="G510" s="73"/>
      <c r="H510" s="73"/>
      <c r="I510" s="73"/>
      <c r="J510" s="74"/>
      <c r="K510" s="73"/>
    </row>
    <row r="511" spans="2:11" x14ac:dyDescent="0.3">
      <c r="B511" s="3"/>
      <c r="C511" s="3"/>
      <c r="D511" s="3"/>
      <c r="E511" s="3"/>
      <c r="F511" s="3"/>
      <c r="G511" s="3"/>
      <c r="H511" s="3"/>
      <c r="I511" s="3"/>
      <c r="J511" s="8"/>
      <c r="K511" s="3"/>
    </row>
    <row r="512" spans="2:11" x14ac:dyDescent="0.3">
      <c r="B512" s="73"/>
      <c r="C512" s="73"/>
      <c r="D512" s="73"/>
      <c r="E512" s="73"/>
      <c r="F512" s="73"/>
      <c r="G512" s="73"/>
      <c r="H512" s="73"/>
      <c r="I512" s="73"/>
      <c r="J512" s="74"/>
      <c r="K512" s="73"/>
    </row>
    <row r="513" spans="2:11" x14ac:dyDescent="0.3">
      <c r="B513" s="3"/>
      <c r="C513" s="3"/>
      <c r="D513" s="3"/>
      <c r="E513" s="3"/>
      <c r="F513" s="3"/>
      <c r="G513" s="3"/>
      <c r="H513" s="3"/>
      <c r="I513" s="3"/>
      <c r="J513" s="8"/>
      <c r="K513" s="3"/>
    </row>
    <row r="514" spans="2:11" x14ac:dyDescent="0.3">
      <c r="B514" s="73"/>
      <c r="C514" s="73"/>
      <c r="D514" s="73"/>
      <c r="E514" s="73"/>
      <c r="F514" s="73"/>
      <c r="G514" s="73"/>
      <c r="H514" s="73"/>
      <c r="I514" s="73"/>
      <c r="J514" s="74"/>
      <c r="K514" s="73"/>
    </row>
    <row r="515" spans="2:11" x14ac:dyDescent="0.3">
      <c r="B515" s="3"/>
      <c r="C515" s="3"/>
      <c r="D515" s="3"/>
      <c r="E515" s="3"/>
      <c r="F515" s="3"/>
      <c r="G515" s="3"/>
      <c r="H515" s="3"/>
      <c r="I515" s="3"/>
      <c r="J515" s="8"/>
      <c r="K515" s="3"/>
    </row>
    <row r="516" spans="2:11" x14ac:dyDescent="0.3">
      <c r="B516" s="73"/>
      <c r="C516" s="81"/>
      <c r="D516" s="81"/>
      <c r="E516" s="81"/>
      <c r="F516" s="81"/>
      <c r="G516" s="73"/>
      <c r="H516" s="81"/>
      <c r="I516" s="73"/>
      <c r="J516" s="82"/>
      <c r="K516" s="81"/>
    </row>
    <row r="517" spans="2:11" x14ac:dyDescent="0.3">
      <c r="B517" s="3"/>
      <c r="C517" s="6"/>
      <c r="D517" s="6"/>
      <c r="E517" s="6"/>
      <c r="F517" s="6"/>
      <c r="G517" s="3"/>
      <c r="H517" s="6"/>
      <c r="I517" s="3"/>
      <c r="J517" s="13"/>
      <c r="K517" s="6"/>
    </row>
    <row r="518" spans="2:11" x14ac:dyDescent="0.3">
      <c r="B518" s="73"/>
      <c r="C518" s="81"/>
      <c r="D518" s="81"/>
      <c r="E518" s="81"/>
      <c r="F518" s="81"/>
      <c r="G518" s="73"/>
      <c r="H518" s="81"/>
      <c r="I518" s="73"/>
      <c r="J518" s="82"/>
      <c r="K518" s="81"/>
    </row>
    <row r="519" spans="2:11" x14ac:dyDescent="0.3">
      <c r="B519" s="3"/>
      <c r="C519" s="6"/>
      <c r="D519" s="6"/>
      <c r="E519" s="6"/>
      <c r="F519" s="6"/>
      <c r="G519" s="3"/>
      <c r="H519" s="6"/>
      <c r="I519" s="3"/>
      <c r="J519" s="13"/>
      <c r="K519" s="6"/>
    </row>
    <row r="520" spans="2:11" x14ac:dyDescent="0.3">
      <c r="B520" s="73"/>
      <c r="C520" s="81"/>
      <c r="D520" s="81"/>
      <c r="E520" s="81"/>
      <c r="F520" s="81"/>
      <c r="G520" s="73"/>
      <c r="H520" s="81"/>
      <c r="I520" s="73"/>
      <c r="J520" s="82"/>
      <c r="K520" s="81"/>
    </row>
    <row r="521" spans="2:11" x14ac:dyDescent="0.3">
      <c r="B521" s="3"/>
      <c r="C521" s="6"/>
      <c r="D521" s="6"/>
      <c r="E521" s="6"/>
      <c r="F521" s="6"/>
      <c r="G521" s="3"/>
      <c r="H521" s="6"/>
      <c r="I521" s="3"/>
      <c r="J521" s="13"/>
      <c r="K521" s="6"/>
    </row>
    <row r="522" spans="2:11" x14ac:dyDescent="0.3">
      <c r="B522" s="73"/>
      <c r="C522" s="81"/>
      <c r="D522" s="81"/>
      <c r="E522" s="81"/>
      <c r="F522" s="81"/>
      <c r="G522" s="73"/>
      <c r="H522" s="81"/>
      <c r="I522" s="73"/>
      <c r="J522" s="82"/>
      <c r="K522" s="81"/>
    </row>
    <row r="523" spans="2:11" x14ac:dyDescent="0.3">
      <c r="B523" s="3"/>
      <c r="C523" s="6"/>
      <c r="D523" s="6"/>
      <c r="E523" s="6"/>
      <c r="F523" s="6"/>
      <c r="G523" s="3"/>
      <c r="H523" s="6"/>
      <c r="I523" s="3"/>
      <c r="J523" s="13"/>
      <c r="K523" s="6"/>
    </row>
    <row r="524" spans="2:11" x14ac:dyDescent="0.3">
      <c r="B524" s="73"/>
      <c r="C524" s="81"/>
      <c r="D524" s="81"/>
      <c r="E524" s="81"/>
      <c r="F524" s="81"/>
      <c r="G524" s="73"/>
      <c r="H524" s="81"/>
      <c r="I524" s="73"/>
      <c r="J524" s="82"/>
      <c r="K524" s="81"/>
    </row>
    <row r="525" spans="2:11" x14ac:dyDescent="0.3">
      <c r="B525" s="3"/>
      <c r="C525" s="6"/>
      <c r="D525" s="6"/>
      <c r="E525" s="6"/>
      <c r="F525" s="6"/>
      <c r="G525" s="3"/>
      <c r="H525" s="6"/>
      <c r="I525" s="3"/>
      <c r="J525" s="13"/>
      <c r="K525" s="6"/>
    </row>
    <row r="526" spans="2:11" x14ac:dyDescent="0.3">
      <c r="B526" s="73"/>
      <c r="C526" s="81"/>
      <c r="D526" s="81"/>
      <c r="E526" s="81"/>
      <c r="F526" s="81"/>
      <c r="G526" s="73"/>
      <c r="H526" s="81"/>
      <c r="I526" s="73"/>
      <c r="J526" s="82"/>
      <c r="K526" s="81"/>
    </row>
    <row r="527" spans="2:11" x14ac:dyDescent="0.3">
      <c r="B527" s="3"/>
      <c r="C527" s="6"/>
      <c r="D527" s="6"/>
      <c r="E527" s="6"/>
      <c r="F527" s="6"/>
      <c r="G527" s="3"/>
      <c r="H527" s="6"/>
      <c r="I527" s="3"/>
      <c r="J527" s="13"/>
      <c r="K527" s="6"/>
    </row>
    <row r="528" spans="2:11" x14ac:dyDescent="0.3">
      <c r="B528" s="73"/>
      <c r="C528" s="81"/>
      <c r="D528" s="81"/>
      <c r="E528" s="81"/>
      <c r="F528" s="81"/>
      <c r="G528" s="73"/>
      <c r="H528" s="81"/>
      <c r="I528" s="73"/>
      <c r="J528" s="82"/>
      <c r="K528" s="81"/>
    </row>
    <row r="529" spans="2:11" x14ac:dyDescent="0.3">
      <c r="B529" s="3"/>
      <c r="C529" s="6"/>
      <c r="D529" s="6"/>
      <c r="E529" s="6"/>
      <c r="F529" s="6"/>
      <c r="G529" s="3"/>
      <c r="H529" s="6"/>
      <c r="I529" s="3"/>
      <c r="J529" s="13"/>
      <c r="K529" s="6"/>
    </row>
    <row r="530" spans="2:11" x14ac:dyDescent="0.3">
      <c r="B530" s="73"/>
      <c r="C530" s="81"/>
      <c r="D530" s="81"/>
      <c r="E530" s="81"/>
      <c r="F530" s="81"/>
      <c r="G530" s="73"/>
      <c r="H530" s="81"/>
      <c r="I530" s="73"/>
      <c r="J530" s="82"/>
      <c r="K530" s="81"/>
    </row>
    <row r="531" spans="2:11" x14ac:dyDescent="0.3">
      <c r="B531" s="3"/>
      <c r="C531" s="6"/>
      <c r="D531" s="6"/>
      <c r="E531" s="6"/>
      <c r="F531" s="6"/>
      <c r="G531" s="3"/>
      <c r="H531" s="6"/>
      <c r="I531" s="3"/>
      <c r="J531" s="13"/>
      <c r="K531" s="6"/>
    </row>
    <row r="532" spans="2:11" x14ac:dyDescent="0.3">
      <c r="B532" s="73"/>
      <c r="C532" s="81"/>
      <c r="D532" s="81"/>
      <c r="E532" s="81"/>
      <c r="F532" s="81"/>
      <c r="G532" s="73"/>
      <c r="H532" s="81"/>
      <c r="I532" s="73"/>
      <c r="J532" s="82"/>
      <c r="K532" s="81"/>
    </row>
    <row r="533" spans="2:11" x14ac:dyDescent="0.3">
      <c r="B533" s="3"/>
      <c r="C533" s="1"/>
      <c r="D533" s="1"/>
      <c r="E533" s="1"/>
      <c r="F533" s="1"/>
      <c r="G533" s="3"/>
      <c r="H533" s="1"/>
      <c r="I533" s="3"/>
      <c r="J533" s="9"/>
      <c r="K533" s="1"/>
    </row>
    <row r="534" spans="2:11" x14ac:dyDescent="0.3">
      <c r="B534" s="73"/>
      <c r="C534" s="75"/>
      <c r="D534" s="75"/>
      <c r="E534" s="75"/>
      <c r="F534" s="75"/>
      <c r="G534" s="73"/>
      <c r="H534" s="75"/>
      <c r="I534" s="73"/>
      <c r="J534" s="76"/>
      <c r="K534" s="75"/>
    </row>
    <row r="535" spans="2:11" x14ac:dyDescent="0.3">
      <c r="B535" s="3"/>
      <c r="C535" s="1"/>
      <c r="D535" s="1"/>
      <c r="E535" s="1"/>
      <c r="F535" s="1"/>
      <c r="G535" s="3"/>
      <c r="H535" s="1"/>
      <c r="I535" s="3"/>
      <c r="J535" s="9"/>
      <c r="K535" s="1"/>
    </row>
    <row r="536" spans="2:11" x14ac:dyDescent="0.3">
      <c r="B536" s="73"/>
      <c r="C536" s="75"/>
      <c r="D536" s="75"/>
      <c r="E536" s="75"/>
      <c r="F536" s="75"/>
      <c r="G536" s="73"/>
      <c r="H536" s="75"/>
      <c r="I536" s="73"/>
      <c r="J536" s="76"/>
      <c r="K536" s="75"/>
    </row>
    <row r="537" spans="2:11" x14ac:dyDescent="0.3">
      <c r="B537" s="3"/>
      <c r="C537" s="1"/>
      <c r="D537" s="1"/>
      <c r="E537" s="1"/>
      <c r="F537" s="1"/>
      <c r="G537" s="3"/>
      <c r="H537" s="1"/>
      <c r="I537" s="3"/>
      <c r="J537" s="9"/>
      <c r="K537" s="1"/>
    </row>
    <row r="538" spans="2:11" x14ac:dyDescent="0.3">
      <c r="B538" s="73"/>
      <c r="C538" s="75"/>
      <c r="D538" s="75"/>
      <c r="E538" s="75"/>
      <c r="F538" s="75"/>
      <c r="G538" s="73"/>
      <c r="H538" s="75"/>
      <c r="I538" s="73"/>
      <c r="J538" s="76"/>
      <c r="K538" s="75"/>
    </row>
    <row r="539" spans="2:11" x14ac:dyDescent="0.3">
      <c r="B539" s="3"/>
      <c r="C539" s="1"/>
      <c r="D539" s="1"/>
      <c r="E539" s="1"/>
      <c r="F539" s="1"/>
      <c r="G539" s="3"/>
      <c r="H539" s="1"/>
      <c r="I539" s="3"/>
      <c r="J539" s="9"/>
      <c r="K539" s="1"/>
    </row>
    <row r="540" spans="2:11" x14ac:dyDescent="0.3">
      <c r="B540" s="73"/>
      <c r="C540" s="75"/>
      <c r="D540" s="75"/>
      <c r="E540" s="75"/>
      <c r="F540" s="75"/>
      <c r="G540" s="73"/>
      <c r="H540" s="75"/>
      <c r="I540" s="73"/>
      <c r="J540" s="76"/>
      <c r="K540" s="75"/>
    </row>
    <row r="541" spans="2:11" x14ac:dyDescent="0.3">
      <c r="B541" s="3"/>
      <c r="C541" s="1"/>
      <c r="D541" s="1"/>
      <c r="E541" s="1"/>
      <c r="F541" s="1"/>
      <c r="G541" s="3"/>
      <c r="H541" s="1"/>
      <c r="I541" s="3"/>
      <c r="J541" s="9"/>
      <c r="K541" s="1"/>
    </row>
    <row r="542" spans="2:11" x14ac:dyDescent="0.3">
      <c r="B542" s="73"/>
      <c r="C542" s="75"/>
      <c r="D542" s="75"/>
      <c r="E542" s="75"/>
      <c r="F542" s="75"/>
      <c r="G542" s="73"/>
      <c r="H542" s="75"/>
      <c r="I542" s="73"/>
      <c r="J542" s="76"/>
      <c r="K542" s="75"/>
    </row>
    <row r="543" spans="2:11" x14ac:dyDescent="0.3">
      <c r="B543" s="3"/>
      <c r="C543" s="1"/>
      <c r="D543" s="1"/>
      <c r="E543" s="1"/>
      <c r="F543" s="1"/>
      <c r="G543" s="3"/>
      <c r="H543" s="1"/>
      <c r="I543" s="3"/>
      <c r="J543" s="9"/>
      <c r="K543" s="1"/>
    </row>
    <row r="544" spans="2:11" x14ac:dyDescent="0.3">
      <c r="B544" s="73"/>
      <c r="C544" s="75"/>
      <c r="D544" s="75"/>
      <c r="E544" s="75"/>
      <c r="F544" s="75"/>
      <c r="G544" s="73"/>
      <c r="H544" s="75"/>
      <c r="I544" s="73"/>
      <c r="J544" s="76"/>
      <c r="K544" s="75"/>
    </row>
    <row r="545" spans="2:11" x14ac:dyDescent="0.3">
      <c r="B545" s="3"/>
      <c r="C545" s="1"/>
      <c r="D545" s="1"/>
      <c r="E545" s="1"/>
      <c r="F545" s="1"/>
      <c r="G545" s="3"/>
      <c r="H545" s="1"/>
      <c r="I545" s="3"/>
      <c r="J545" s="9"/>
      <c r="K545" s="1"/>
    </row>
    <row r="546" spans="2:11" x14ac:dyDescent="0.3">
      <c r="B546" s="73"/>
      <c r="C546" s="75"/>
      <c r="D546" s="75"/>
      <c r="E546" s="75"/>
      <c r="F546" s="75"/>
      <c r="G546" s="73"/>
      <c r="H546" s="75"/>
      <c r="I546" s="73"/>
      <c r="J546" s="76"/>
      <c r="K546" s="75"/>
    </row>
    <row r="547" spans="2:11" x14ac:dyDescent="0.3">
      <c r="B547" s="3"/>
      <c r="C547" s="1"/>
      <c r="D547" s="1"/>
      <c r="E547" s="1"/>
      <c r="F547" s="1"/>
      <c r="G547" s="3"/>
      <c r="H547" s="1"/>
      <c r="I547" s="3"/>
      <c r="J547" s="9"/>
      <c r="K547" s="1"/>
    </row>
    <row r="548" spans="2:11" x14ac:dyDescent="0.3">
      <c r="B548" s="73"/>
      <c r="C548" s="75"/>
      <c r="D548" s="75"/>
      <c r="E548" s="75"/>
      <c r="F548" s="75"/>
      <c r="G548" s="73"/>
      <c r="H548" s="75"/>
      <c r="I548" s="73"/>
      <c r="J548" s="76"/>
      <c r="K548" s="75"/>
    </row>
    <row r="549" spans="2:11" x14ac:dyDescent="0.3">
      <c r="B549" s="3"/>
      <c r="C549" s="1"/>
      <c r="D549" s="1"/>
      <c r="E549" s="1"/>
      <c r="F549" s="1"/>
      <c r="G549" s="3"/>
      <c r="H549" s="1"/>
      <c r="I549" s="3"/>
      <c r="J549" s="9"/>
      <c r="K549" s="1"/>
    </row>
    <row r="550" spans="2:11" x14ac:dyDescent="0.3">
      <c r="B550" s="73"/>
      <c r="C550" s="73"/>
      <c r="D550" s="73"/>
      <c r="E550" s="73"/>
      <c r="F550" s="73"/>
      <c r="G550" s="73"/>
      <c r="H550" s="73"/>
      <c r="I550" s="73"/>
      <c r="J550" s="74"/>
      <c r="K550" s="73"/>
    </row>
    <row r="551" spans="2:11" x14ac:dyDescent="0.3">
      <c r="B551" s="3"/>
      <c r="C551" s="3"/>
      <c r="D551" s="3"/>
      <c r="E551" s="3"/>
      <c r="F551" s="3"/>
      <c r="G551" s="3"/>
      <c r="H551" s="3"/>
      <c r="I551" s="3"/>
      <c r="J551" s="8"/>
      <c r="K551" s="3"/>
    </row>
    <row r="552" spans="2:11" x14ac:dyDescent="0.3">
      <c r="B552" s="73"/>
      <c r="C552" s="73"/>
      <c r="D552" s="73"/>
      <c r="E552" s="73"/>
      <c r="F552" s="73"/>
      <c r="G552" s="73"/>
      <c r="H552" s="73"/>
      <c r="I552" s="73"/>
      <c r="J552" s="74"/>
      <c r="K552" s="73"/>
    </row>
    <row r="553" spans="2:11" x14ac:dyDescent="0.3">
      <c r="B553" s="3"/>
      <c r="C553" s="3"/>
      <c r="D553" s="3"/>
      <c r="E553" s="3"/>
      <c r="F553" s="3"/>
      <c r="G553" s="3"/>
      <c r="H553" s="3"/>
      <c r="I553" s="3"/>
      <c r="J553" s="8"/>
      <c r="K553" s="3"/>
    </row>
    <row r="554" spans="2:11" x14ac:dyDescent="0.3">
      <c r="B554" s="73"/>
      <c r="C554" s="73"/>
      <c r="D554" s="73"/>
      <c r="E554" s="73"/>
      <c r="F554" s="73"/>
      <c r="G554" s="73"/>
      <c r="H554" s="73"/>
      <c r="I554" s="73"/>
      <c r="J554" s="74"/>
      <c r="K554" s="73"/>
    </row>
    <row r="555" spans="2:11" x14ac:dyDescent="0.3">
      <c r="B555" s="3"/>
      <c r="C555" s="3"/>
      <c r="D555" s="3"/>
      <c r="E555" s="3"/>
      <c r="F555" s="3"/>
      <c r="G555" s="3"/>
      <c r="H555" s="3"/>
      <c r="I555" s="3"/>
      <c r="J555" s="8"/>
      <c r="K555" s="3"/>
    </row>
    <row r="556" spans="2:11" x14ac:dyDescent="0.3">
      <c r="B556" s="73"/>
      <c r="C556" s="73"/>
      <c r="D556" s="73"/>
      <c r="E556" s="73"/>
      <c r="F556" s="73"/>
      <c r="G556" s="73"/>
      <c r="H556" s="73"/>
      <c r="I556" s="73"/>
      <c r="J556" s="74"/>
      <c r="K556" s="73"/>
    </row>
    <row r="557" spans="2:11" x14ac:dyDescent="0.3">
      <c r="B557" s="3"/>
      <c r="C557" s="3"/>
      <c r="D557" s="3"/>
      <c r="E557" s="3"/>
      <c r="F557" s="3"/>
      <c r="G557" s="3"/>
      <c r="H557" s="3"/>
      <c r="I557" s="3"/>
      <c r="J557" s="8"/>
      <c r="K557" s="3"/>
    </row>
    <row r="558" spans="2:11" x14ac:dyDescent="0.3">
      <c r="B558" s="73"/>
      <c r="C558" s="73"/>
      <c r="D558" s="73"/>
      <c r="E558" s="73"/>
      <c r="F558" s="73"/>
      <c r="G558" s="73"/>
      <c r="H558" s="73"/>
      <c r="I558" s="73"/>
      <c r="J558" s="74"/>
      <c r="K558" s="73"/>
    </row>
    <row r="559" spans="2:11" x14ac:dyDescent="0.3">
      <c r="B559" s="3"/>
      <c r="C559" s="3"/>
      <c r="D559" s="3"/>
      <c r="E559" s="3"/>
      <c r="F559" s="3"/>
      <c r="G559" s="3"/>
      <c r="H559" s="3"/>
      <c r="I559" s="3"/>
      <c r="J559" s="8"/>
      <c r="K559" s="3"/>
    </row>
    <row r="560" spans="2:11" x14ac:dyDescent="0.3">
      <c r="B560" s="73"/>
      <c r="C560" s="73"/>
      <c r="D560" s="73"/>
      <c r="E560" s="73"/>
      <c r="F560" s="73"/>
      <c r="G560" s="73"/>
      <c r="H560" s="73"/>
      <c r="I560" s="73"/>
      <c r="J560" s="74"/>
      <c r="K560" s="73"/>
    </row>
    <row r="561" spans="2:11" x14ac:dyDescent="0.3">
      <c r="B561" s="3"/>
      <c r="C561" s="3"/>
      <c r="D561" s="3"/>
      <c r="E561" s="3"/>
      <c r="F561" s="3"/>
      <c r="G561" s="3"/>
      <c r="H561" s="3"/>
      <c r="I561" s="3"/>
      <c r="J561" s="8"/>
      <c r="K561" s="3"/>
    </row>
    <row r="562" spans="2:11" x14ac:dyDescent="0.3">
      <c r="B562" s="73"/>
      <c r="C562" s="73"/>
      <c r="D562" s="73"/>
      <c r="E562" s="73"/>
      <c r="F562" s="73"/>
      <c r="G562" s="73"/>
      <c r="H562" s="73"/>
      <c r="I562" s="73"/>
      <c r="J562" s="74"/>
      <c r="K562" s="73"/>
    </row>
    <row r="563" spans="2:11" x14ac:dyDescent="0.3">
      <c r="B563" s="3"/>
      <c r="C563" s="3"/>
      <c r="D563" s="3"/>
      <c r="E563" s="3"/>
      <c r="F563" s="3"/>
      <c r="G563" s="3"/>
      <c r="H563" s="3"/>
      <c r="I563" s="3"/>
      <c r="J563" s="8"/>
      <c r="K563" s="3"/>
    </row>
    <row r="564" spans="2:11" x14ac:dyDescent="0.3">
      <c r="B564" s="73"/>
      <c r="C564" s="73"/>
      <c r="D564" s="73"/>
      <c r="E564" s="73"/>
      <c r="F564" s="73"/>
      <c r="G564" s="73"/>
      <c r="H564" s="73"/>
      <c r="I564" s="73"/>
      <c r="J564" s="74"/>
      <c r="K564" s="73"/>
    </row>
    <row r="565" spans="2:11" x14ac:dyDescent="0.3">
      <c r="B565" s="3"/>
      <c r="C565" s="3"/>
      <c r="D565" s="3"/>
      <c r="E565" s="3"/>
      <c r="F565" s="3"/>
      <c r="G565" s="3"/>
      <c r="H565" s="3"/>
      <c r="I565" s="3"/>
      <c r="J565" s="8"/>
      <c r="K565" s="3"/>
    </row>
    <row r="566" spans="2:11" x14ac:dyDescent="0.3">
      <c r="B566" s="73"/>
      <c r="C566" s="73"/>
      <c r="D566" s="73"/>
      <c r="E566" s="73"/>
      <c r="F566" s="73"/>
      <c r="G566" s="73"/>
      <c r="H566" s="73"/>
      <c r="I566" s="73"/>
      <c r="J566" s="74"/>
      <c r="K566" s="73"/>
    </row>
    <row r="567" spans="2:11" x14ac:dyDescent="0.3">
      <c r="B567" s="3"/>
      <c r="C567" s="3"/>
      <c r="D567" s="3"/>
      <c r="E567" s="3"/>
      <c r="F567" s="3"/>
      <c r="G567" s="3"/>
      <c r="H567" s="3"/>
      <c r="I567" s="3"/>
      <c r="J567" s="8"/>
      <c r="K567" s="3"/>
    </row>
    <row r="568" spans="2:11" x14ac:dyDescent="0.3">
      <c r="B568" s="73"/>
      <c r="C568" s="73"/>
      <c r="D568" s="73"/>
      <c r="E568" s="73"/>
      <c r="F568" s="73"/>
      <c r="G568" s="73"/>
      <c r="H568" s="73"/>
      <c r="I568" s="73"/>
      <c r="J568" s="74"/>
      <c r="K568" s="73"/>
    </row>
    <row r="569" spans="2:11" x14ac:dyDescent="0.3">
      <c r="B569" s="3"/>
      <c r="C569" s="3"/>
      <c r="D569" s="3"/>
      <c r="E569" s="3"/>
      <c r="F569" s="3"/>
      <c r="G569" s="3"/>
      <c r="H569" s="3"/>
      <c r="I569" s="3"/>
      <c r="J569" s="8"/>
      <c r="K569" s="3"/>
    </row>
    <row r="570" spans="2:11" x14ac:dyDescent="0.3">
      <c r="B570" s="73"/>
      <c r="C570" s="73"/>
      <c r="D570" s="73"/>
      <c r="E570" s="73"/>
      <c r="F570" s="73"/>
      <c r="G570" s="73"/>
      <c r="H570" s="73"/>
      <c r="I570" s="73"/>
      <c r="J570" s="74"/>
      <c r="K570" s="73"/>
    </row>
    <row r="571" spans="2:11" x14ac:dyDescent="0.3">
      <c r="B571" s="3"/>
      <c r="C571" s="3"/>
      <c r="D571" s="3"/>
      <c r="E571" s="3"/>
      <c r="F571" s="3"/>
      <c r="G571" s="3"/>
      <c r="H571" s="3"/>
      <c r="I571" s="3"/>
      <c r="J571" s="8"/>
      <c r="K571" s="3"/>
    </row>
    <row r="572" spans="2:11" x14ac:dyDescent="0.3">
      <c r="B572" s="73"/>
      <c r="C572" s="73"/>
      <c r="D572" s="73"/>
      <c r="E572" s="73"/>
      <c r="F572" s="73"/>
      <c r="G572" s="73"/>
      <c r="H572" s="73"/>
      <c r="I572" s="73"/>
      <c r="J572" s="74"/>
      <c r="K572" s="73"/>
    </row>
    <row r="573" spans="2:11" x14ac:dyDescent="0.3">
      <c r="B573" s="3"/>
      <c r="C573" s="3"/>
      <c r="D573" s="3"/>
      <c r="E573" s="3"/>
      <c r="F573" s="3"/>
      <c r="G573" s="3"/>
      <c r="H573" s="3"/>
      <c r="I573" s="3"/>
      <c r="J573" s="8"/>
      <c r="K573" s="3"/>
    </row>
    <row r="574" spans="2:11" x14ac:dyDescent="0.3">
      <c r="B574" s="73"/>
      <c r="C574" s="73"/>
      <c r="D574" s="73"/>
      <c r="E574" s="73"/>
      <c r="F574" s="73"/>
      <c r="G574" s="73"/>
      <c r="H574" s="73"/>
      <c r="I574" s="73"/>
      <c r="J574" s="74"/>
      <c r="K574" s="73"/>
    </row>
    <row r="575" spans="2:11" x14ac:dyDescent="0.3">
      <c r="B575" s="3"/>
      <c r="C575" s="3"/>
      <c r="D575" s="3"/>
      <c r="E575" s="3"/>
      <c r="F575" s="3"/>
      <c r="G575" s="3"/>
      <c r="H575" s="3"/>
      <c r="I575" s="3"/>
      <c r="J575" s="8"/>
      <c r="K575" s="3"/>
    </row>
    <row r="576" spans="2:11" x14ac:dyDescent="0.3">
      <c r="B576" s="73"/>
      <c r="C576" s="73"/>
      <c r="D576" s="73"/>
      <c r="E576" s="73"/>
      <c r="F576" s="73"/>
      <c r="G576" s="73"/>
      <c r="H576" s="73"/>
      <c r="I576" s="73"/>
      <c r="J576" s="74"/>
      <c r="K576" s="73"/>
    </row>
    <row r="577" spans="2:11" x14ac:dyDescent="0.3">
      <c r="B577" s="3"/>
      <c r="C577" s="3"/>
      <c r="D577" s="3"/>
      <c r="E577" s="3"/>
      <c r="F577" s="3"/>
      <c r="G577" s="3"/>
      <c r="H577" s="3"/>
      <c r="I577" s="3"/>
      <c r="J577" s="8"/>
      <c r="K577" s="3"/>
    </row>
    <row r="578" spans="2:11" x14ac:dyDescent="0.3">
      <c r="B578" s="73"/>
      <c r="C578" s="73"/>
      <c r="D578" s="73"/>
      <c r="E578" s="73"/>
      <c r="F578" s="73"/>
      <c r="G578" s="73"/>
      <c r="H578" s="73"/>
      <c r="I578" s="73"/>
      <c r="J578" s="74"/>
      <c r="K578" s="73"/>
    </row>
    <row r="579" spans="2:11" x14ac:dyDescent="0.3">
      <c r="B579" s="3"/>
      <c r="C579" s="3"/>
      <c r="D579" s="3"/>
      <c r="E579" s="3"/>
      <c r="F579" s="3"/>
      <c r="G579" s="3"/>
      <c r="H579" s="3"/>
      <c r="I579" s="3"/>
      <c r="J579" s="8"/>
      <c r="K579" s="3"/>
    </row>
    <row r="580" spans="2:11" x14ac:dyDescent="0.3">
      <c r="B580" s="73"/>
      <c r="C580" s="73"/>
      <c r="D580" s="73"/>
      <c r="E580" s="73"/>
      <c r="F580" s="73"/>
      <c r="G580" s="73"/>
      <c r="H580" s="73"/>
      <c r="I580" s="73"/>
      <c r="J580" s="74"/>
      <c r="K580" s="73"/>
    </row>
    <row r="581" spans="2:11" x14ac:dyDescent="0.3">
      <c r="B581" s="3"/>
      <c r="C581" s="3"/>
      <c r="D581" s="3"/>
      <c r="E581" s="3"/>
      <c r="F581" s="3"/>
      <c r="G581" s="3"/>
      <c r="H581" s="3"/>
      <c r="I581" s="3"/>
      <c r="J581" s="8"/>
      <c r="K581" s="3"/>
    </row>
    <row r="582" spans="2:11" x14ac:dyDescent="0.3">
      <c r="B582" s="73"/>
      <c r="C582" s="73"/>
      <c r="D582" s="73"/>
      <c r="E582" s="73"/>
      <c r="F582" s="73"/>
      <c r="G582" s="73"/>
      <c r="H582" s="73"/>
      <c r="I582" s="73"/>
      <c r="J582" s="74"/>
      <c r="K582" s="73"/>
    </row>
    <row r="583" spans="2:11" x14ac:dyDescent="0.3">
      <c r="B583" s="3"/>
      <c r="C583" s="3"/>
      <c r="D583" s="3"/>
      <c r="E583" s="3"/>
      <c r="F583" s="3"/>
      <c r="G583" s="3"/>
      <c r="H583" s="3"/>
      <c r="I583" s="3"/>
      <c r="J583" s="8"/>
      <c r="K583" s="3"/>
    </row>
    <row r="584" spans="2:11" x14ac:dyDescent="0.3">
      <c r="B584" s="73"/>
      <c r="C584" s="73"/>
      <c r="D584" s="73"/>
      <c r="E584" s="73"/>
      <c r="F584" s="73"/>
      <c r="G584" s="73"/>
      <c r="H584" s="73"/>
      <c r="I584" s="73"/>
      <c r="J584" s="74"/>
      <c r="K584" s="73"/>
    </row>
    <row r="585" spans="2:11" x14ac:dyDescent="0.3">
      <c r="B585" s="3"/>
      <c r="C585" s="3"/>
      <c r="D585" s="3"/>
      <c r="E585" s="3"/>
      <c r="F585" s="3"/>
      <c r="G585" s="3"/>
      <c r="H585" s="3"/>
      <c r="I585" s="3"/>
      <c r="J585" s="8"/>
      <c r="K585" s="3"/>
    </row>
    <row r="586" spans="2:11" x14ac:dyDescent="0.3">
      <c r="B586" s="73"/>
      <c r="C586" s="73"/>
      <c r="D586" s="73"/>
      <c r="E586" s="73"/>
      <c r="F586" s="73"/>
      <c r="G586" s="73"/>
      <c r="H586" s="73"/>
      <c r="I586" s="73"/>
      <c r="J586" s="74"/>
      <c r="K586" s="73"/>
    </row>
    <row r="587" spans="2:11" x14ac:dyDescent="0.3">
      <c r="B587" s="3"/>
      <c r="C587" s="3"/>
      <c r="D587" s="3"/>
      <c r="E587" s="3"/>
      <c r="F587" s="3"/>
      <c r="G587" s="3"/>
      <c r="H587" s="3"/>
      <c r="I587" s="3"/>
      <c r="J587" s="8"/>
      <c r="K587" s="3"/>
    </row>
    <row r="588" spans="2:11" x14ac:dyDescent="0.3">
      <c r="B588" s="73"/>
      <c r="C588" s="73"/>
      <c r="D588" s="73"/>
      <c r="E588" s="73"/>
      <c r="F588" s="73"/>
      <c r="G588" s="73"/>
      <c r="H588" s="73"/>
      <c r="I588" s="73"/>
      <c r="J588" s="74"/>
      <c r="K588" s="73"/>
    </row>
    <row r="589" spans="2:11" x14ac:dyDescent="0.3">
      <c r="B589" s="3"/>
      <c r="C589" s="3"/>
      <c r="D589" s="3"/>
      <c r="E589" s="3"/>
      <c r="F589" s="3"/>
      <c r="G589" s="3"/>
      <c r="H589" s="3"/>
      <c r="I589" s="3"/>
      <c r="J589" s="8"/>
      <c r="K589" s="3"/>
    </row>
    <row r="590" spans="2:11" x14ac:dyDescent="0.3">
      <c r="B590" s="73"/>
      <c r="C590" s="73"/>
      <c r="D590" s="73"/>
      <c r="E590" s="73"/>
      <c r="F590" s="73"/>
      <c r="G590" s="73"/>
      <c r="H590" s="73"/>
      <c r="I590" s="73"/>
      <c r="J590" s="74"/>
      <c r="K590" s="73"/>
    </row>
    <row r="591" spans="2:11" x14ac:dyDescent="0.3">
      <c r="B591" s="3"/>
      <c r="C591" s="3"/>
      <c r="D591" s="3"/>
      <c r="E591" s="3"/>
      <c r="F591" s="3"/>
      <c r="G591" s="3"/>
      <c r="H591" s="3"/>
      <c r="I591" s="3"/>
      <c r="J591" s="8"/>
      <c r="K591" s="3"/>
    </row>
    <row r="592" spans="2:11" x14ac:dyDescent="0.3">
      <c r="B592" s="73"/>
      <c r="C592" s="73"/>
      <c r="D592" s="73"/>
      <c r="E592" s="73"/>
      <c r="F592" s="73"/>
      <c r="G592" s="73"/>
      <c r="H592" s="73"/>
      <c r="I592" s="73"/>
      <c r="J592" s="74"/>
      <c r="K592" s="73"/>
    </row>
    <row r="593" spans="2:11" x14ac:dyDescent="0.3">
      <c r="B593" s="3"/>
      <c r="C593" s="3"/>
      <c r="D593" s="3"/>
      <c r="E593" s="3"/>
      <c r="F593" s="3"/>
      <c r="G593" s="3"/>
      <c r="H593" s="3"/>
      <c r="I593" s="3"/>
      <c r="J593" s="8"/>
      <c r="K593" s="3"/>
    </row>
    <row r="594" spans="2:11" x14ac:dyDescent="0.3">
      <c r="B594" s="73"/>
      <c r="C594" s="73"/>
      <c r="D594" s="73"/>
      <c r="E594" s="73"/>
      <c r="F594" s="73"/>
      <c r="G594" s="73"/>
      <c r="H594" s="73"/>
      <c r="I594" s="73"/>
      <c r="J594" s="74"/>
      <c r="K594" s="73"/>
    </row>
    <row r="595" spans="2:11" x14ac:dyDescent="0.3">
      <c r="B595" s="3"/>
      <c r="C595" s="3"/>
      <c r="D595" s="3"/>
      <c r="E595" s="3"/>
      <c r="F595" s="3"/>
      <c r="G595" s="3"/>
      <c r="H595" s="3"/>
      <c r="I595" s="3"/>
      <c r="J595" s="8"/>
      <c r="K595" s="3"/>
    </row>
    <row r="596" spans="2:11" x14ac:dyDescent="0.3">
      <c r="B596" s="73"/>
      <c r="C596" s="73"/>
      <c r="D596" s="73"/>
      <c r="E596" s="73"/>
      <c r="F596" s="73"/>
      <c r="G596" s="73"/>
      <c r="H596" s="73"/>
      <c r="I596" s="73"/>
      <c r="J596" s="74"/>
      <c r="K596" s="73"/>
    </row>
    <row r="597" spans="2:11" x14ac:dyDescent="0.3">
      <c r="B597" s="3"/>
      <c r="C597" s="3"/>
      <c r="D597" s="3"/>
      <c r="E597" s="3"/>
      <c r="F597" s="3"/>
      <c r="G597" s="3"/>
      <c r="H597" s="3"/>
      <c r="I597" s="3"/>
      <c r="J597" s="8"/>
      <c r="K597" s="3"/>
    </row>
    <row r="598" spans="2:11" x14ac:dyDescent="0.3">
      <c r="B598" s="73"/>
      <c r="C598" s="73"/>
      <c r="D598" s="73"/>
      <c r="E598" s="73"/>
      <c r="F598" s="73"/>
      <c r="G598" s="73"/>
      <c r="H598" s="73"/>
      <c r="I598" s="73"/>
      <c r="J598" s="74"/>
      <c r="K598" s="73"/>
    </row>
    <row r="599" spans="2:11" x14ac:dyDescent="0.3">
      <c r="B599" s="3"/>
      <c r="C599" s="4"/>
      <c r="D599" s="3"/>
      <c r="E599" s="3"/>
      <c r="F599" s="3"/>
      <c r="G599" s="3"/>
      <c r="H599" s="3"/>
      <c r="I599" s="3"/>
      <c r="J599" s="8"/>
      <c r="K599" s="3"/>
    </row>
    <row r="600" spans="2:11" x14ac:dyDescent="0.3">
      <c r="B600" s="73"/>
      <c r="C600" s="73"/>
      <c r="D600" s="73"/>
      <c r="E600" s="73"/>
      <c r="F600" s="73"/>
      <c r="G600" s="73"/>
      <c r="H600" s="73"/>
      <c r="I600" s="73"/>
      <c r="J600" s="74"/>
      <c r="K600" s="73"/>
    </row>
    <row r="601" spans="2:11" x14ac:dyDescent="0.3">
      <c r="B601" s="3"/>
      <c r="C601" s="3"/>
      <c r="D601" s="3"/>
      <c r="E601" s="3"/>
      <c r="F601" s="3"/>
      <c r="G601" s="3"/>
      <c r="H601" s="3"/>
      <c r="I601" s="3"/>
      <c r="J601" s="8"/>
      <c r="K601" s="3"/>
    </row>
    <row r="602" spans="2:11" x14ac:dyDescent="0.3">
      <c r="B602" s="73"/>
      <c r="C602" s="73"/>
      <c r="D602" s="73"/>
      <c r="E602" s="73"/>
      <c r="F602" s="73"/>
      <c r="G602" s="73"/>
      <c r="H602" s="73"/>
      <c r="I602" s="73"/>
      <c r="J602" s="74"/>
      <c r="K602" s="73"/>
    </row>
    <row r="603" spans="2:11" x14ac:dyDescent="0.3">
      <c r="B603" s="3"/>
      <c r="C603" s="3"/>
      <c r="D603" s="3"/>
      <c r="E603" s="3"/>
      <c r="F603" s="3"/>
      <c r="G603" s="3"/>
      <c r="H603" s="3"/>
      <c r="I603" s="3"/>
      <c r="J603" s="8"/>
      <c r="K603" s="3"/>
    </row>
    <row r="604" spans="2:11" x14ac:dyDescent="0.3">
      <c r="B604" s="73"/>
      <c r="C604" s="73"/>
      <c r="D604" s="73"/>
      <c r="E604" s="73"/>
      <c r="F604" s="73"/>
      <c r="G604" s="73"/>
      <c r="H604" s="73"/>
      <c r="I604" s="73"/>
      <c r="J604" s="74"/>
      <c r="K604" s="73"/>
    </row>
    <row r="605" spans="2:11" x14ac:dyDescent="0.3">
      <c r="B605" s="3"/>
      <c r="C605" s="3"/>
      <c r="D605" s="3"/>
      <c r="E605" s="3"/>
      <c r="F605" s="3"/>
      <c r="G605" s="3"/>
      <c r="H605" s="3"/>
      <c r="I605" s="3"/>
      <c r="J605" s="8"/>
      <c r="K605" s="3"/>
    </row>
    <row r="606" spans="2:11" x14ac:dyDescent="0.3">
      <c r="B606" s="73"/>
      <c r="C606" s="73"/>
      <c r="D606" s="73"/>
      <c r="E606" s="73"/>
      <c r="F606" s="73"/>
      <c r="G606" s="73"/>
      <c r="H606" s="73"/>
      <c r="I606" s="73"/>
      <c r="J606" s="74"/>
      <c r="K606" s="73"/>
    </row>
    <row r="607" spans="2:11" x14ac:dyDescent="0.3">
      <c r="B607" s="3"/>
      <c r="C607" s="3"/>
      <c r="D607" s="3"/>
      <c r="E607" s="3"/>
      <c r="F607" s="3"/>
      <c r="G607" s="3"/>
      <c r="H607" s="3"/>
      <c r="I607" s="3"/>
      <c r="J607" s="8"/>
      <c r="K607" s="3"/>
    </row>
    <row r="608" spans="2:11" x14ac:dyDescent="0.3">
      <c r="B608" s="73"/>
      <c r="C608" s="73"/>
      <c r="D608" s="73"/>
      <c r="E608" s="73"/>
      <c r="F608" s="73"/>
      <c r="G608" s="73"/>
      <c r="H608" s="73"/>
      <c r="I608" s="73"/>
      <c r="J608" s="74"/>
      <c r="K608" s="73"/>
    </row>
    <row r="609" spans="2:11" x14ac:dyDescent="0.3">
      <c r="B609" s="3"/>
      <c r="C609" s="3"/>
      <c r="D609" s="3"/>
      <c r="E609" s="3"/>
      <c r="F609" s="3"/>
      <c r="G609" s="3"/>
      <c r="H609" s="3"/>
      <c r="I609" s="3"/>
      <c r="J609" s="8"/>
      <c r="K609" s="3"/>
    </row>
    <row r="610" spans="2:11" x14ac:dyDescent="0.3">
      <c r="B610" s="73"/>
      <c r="C610" s="73"/>
      <c r="D610" s="73"/>
      <c r="E610" s="73"/>
      <c r="F610" s="73"/>
      <c r="G610" s="73"/>
      <c r="H610" s="73"/>
      <c r="I610" s="73"/>
      <c r="J610" s="74"/>
      <c r="K610" s="73"/>
    </row>
    <row r="611" spans="2:11" x14ac:dyDescent="0.3">
      <c r="B611" s="3"/>
      <c r="C611" s="3"/>
      <c r="D611" s="3"/>
      <c r="E611" s="3"/>
      <c r="F611" s="3"/>
      <c r="G611" s="3"/>
      <c r="H611" s="3"/>
      <c r="I611" s="3"/>
      <c r="J611" s="8"/>
      <c r="K611" s="3"/>
    </row>
    <row r="612" spans="2:11" x14ac:dyDescent="0.3">
      <c r="B612" s="73"/>
      <c r="C612" s="73"/>
      <c r="D612" s="73"/>
      <c r="E612" s="73"/>
      <c r="F612" s="73"/>
      <c r="G612" s="73"/>
      <c r="H612" s="73"/>
      <c r="I612" s="73"/>
      <c r="J612" s="74"/>
      <c r="K612" s="73"/>
    </row>
    <row r="613" spans="2:11" x14ac:dyDescent="0.3">
      <c r="B613" s="3"/>
      <c r="C613" s="3"/>
      <c r="D613" s="3"/>
      <c r="E613" s="3"/>
      <c r="F613" s="3"/>
      <c r="G613" s="3"/>
      <c r="H613" s="3"/>
      <c r="I613" s="3"/>
      <c r="J613" s="8"/>
      <c r="K613" s="3"/>
    </row>
    <row r="614" spans="2:11" x14ac:dyDescent="0.3">
      <c r="B614" s="73"/>
      <c r="C614" s="73"/>
      <c r="D614" s="73"/>
      <c r="E614" s="73"/>
      <c r="F614" s="73"/>
      <c r="G614" s="73"/>
      <c r="H614" s="73"/>
      <c r="I614" s="73"/>
      <c r="J614" s="74"/>
      <c r="K614" s="73"/>
    </row>
    <row r="615" spans="2:11" x14ac:dyDescent="0.3">
      <c r="B615" s="3"/>
      <c r="C615" s="3"/>
      <c r="D615" s="3"/>
      <c r="E615" s="3"/>
      <c r="F615" s="3"/>
      <c r="G615" s="3"/>
      <c r="H615" s="3"/>
      <c r="I615" s="3"/>
      <c r="J615" s="8"/>
      <c r="K615" s="3"/>
    </row>
    <row r="616" spans="2:11" x14ac:dyDescent="0.3">
      <c r="B616" s="73"/>
      <c r="C616" s="73"/>
      <c r="D616" s="73"/>
      <c r="E616" s="73"/>
      <c r="F616" s="73"/>
      <c r="G616" s="73"/>
      <c r="H616" s="73"/>
      <c r="I616" s="73"/>
      <c r="J616" s="74"/>
      <c r="K616" s="73"/>
    </row>
    <row r="617" spans="2:11" x14ac:dyDescent="0.3">
      <c r="B617" s="3"/>
      <c r="C617" s="3"/>
      <c r="D617" s="3"/>
      <c r="E617" s="3"/>
      <c r="F617" s="3"/>
      <c r="G617" s="3"/>
      <c r="H617" s="3"/>
      <c r="I617" s="3"/>
      <c r="J617" s="8"/>
      <c r="K617" s="3"/>
    </row>
    <row r="618" spans="2:11" x14ac:dyDescent="0.3">
      <c r="B618" s="73"/>
      <c r="C618" s="73"/>
      <c r="D618" s="73"/>
      <c r="E618" s="73"/>
      <c r="F618" s="73"/>
      <c r="G618" s="73"/>
      <c r="H618" s="73"/>
      <c r="I618" s="73"/>
      <c r="J618" s="74"/>
      <c r="K618" s="73"/>
    </row>
    <row r="619" spans="2:11" x14ac:dyDescent="0.3">
      <c r="B619" s="3"/>
      <c r="C619" s="3"/>
      <c r="D619" s="3"/>
      <c r="E619" s="3"/>
      <c r="F619" s="3"/>
      <c r="G619" s="3"/>
      <c r="H619" s="3"/>
      <c r="I619" s="3"/>
      <c r="J619" s="8"/>
      <c r="K619" s="3"/>
    </row>
    <row r="620" spans="2:11" x14ac:dyDescent="0.3">
      <c r="B620" s="73"/>
      <c r="C620" s="73"/>
      <c r="D620" s="73"/>
      <c r="E620" s="73"/>
      <c r="F620" s="73"/>
      <c r="G620" s="73"/>
      <c r="H620" s="73"/>
      <c r="I620" s="73"/>
      <c r="J620" s="74"/>
      <c r="K620" s="73"/>
    </row>
    <row r="621" spans="2:11" x14ac:dyDescent="0.3">
      <c r="B621" s="3"/>
      <c r="C621" s="3"/>
      <c r="D621" s="3"/>
      <c r="E621" s="3"/>
      <c r="F621" s="3"/>
      <c r="G621" s="3"/>
      <c r="H621" s="3"/>
      <c r="I621" s="3"/>
      <c r="J621" s="8"/>
      <c r="K621" s="3"/>
    </row>
    <row r="622" spans="2:11" x14ac:dyDescent="0.3">
      <c r="B622" s="73"/>
      <c r="C622" s="73"/>
      <c r="D622" s="73"/>
      <c r="E622" s="73"/>
      <c r="F622" s="73"/>
      <c r="G622" s="73"/>
      <c r="H622" s="73"/>
      <c r="I622" s="73"/>
      <c r="J622" s="74"/>
      <c r="K622" s="73"/>
    </row>
    <row r="623" spans="2:11" x14ac:dyDescent="0.3">
      <c r="B623" s="3"/>
      <c r="C623" s="3"/>
      <c r="D623" s="3"/>
      <c r="E623" s="3"/>
      <c r="F623" s="3"/>
      <c r="G623" s="3"/>
      <c r="H623" s="3"/>
      <c r="I623" s="3"/>
      <c r="J623" s="8"/>
      <c r="K623" s="3"/>
    </row>
    <row r="624" spans="2:11" x14ac:dyDescent="0.3">
      <c r="B624" s="73"/>
      <c r="C624" s="73"/>
      <c r="D624" s="73"/>
      <c r="E624" s="73"/>
      <c r="F624" s="73"/>
      <c r="G624" s="73"/>
      <c r="H624" s="73"/>
      <c r="I624" s="73"/>
      <c r="J624" s="74"/>
      <c r="K624" s="73"/>
    </row>
    <row r="625" spans="2:11" x14ac:dyDescent="0.3">
      <c r="B625" s="3"/>
      <c r="C625" s="3"/>
      <c r="D625" s="3"/>
      <c r="E625" s="3"/>
      <c r="F625" s="3"/>
      <c r="G625" s="3"/>
      <c r="H625" s="3"/>
      <c r="I625" s="3"/>
      <c r="J625" s="8"/>
      <c r="K625" s="3"/>
    </row>
    <row r="626" spans="2:11" x14ac:dyDescent="0.3">
      <c r="B626" s="73"/>
      <c r="C626" s="73"/>
      <c r="D626" s="73"/>
      <c r="E626" s="73"/>
      <c r="F626" s="73"/>
      <c r="G626" s="73"/>
      <c r="H626" s="73"/>
      <c r="I626" s="73"/>
      <c r="J626" s="74"/>
      <c r="K626" s="73"/>
    </row>
    <row r="627" spans="2:11" x14ac:dyDescent="0.3">
      <c r="B627" s="3"/>
      <c r="C627" s="3"/>
      <c r="D627" s="3"/>
      <c r="E627" s="3"/>
      <c r="F627" s="3"/>
      <c r="G627" s="3"/>
      <c r="H627" s="3"/>
      <c r="I627" s="3"/>
      <c r="J627" s="8"/>
      <c r="K627" s="3"/>
    </row>
    <row r="628" spans="2:11" x14ac:dyDescent="0.3">
      <c r="B628" s="73"/>
      <c r="C628" s="73"/>
      <c r="D628" s="73"/>
      <c r="E628" s="73"/>
      <c r="F628" s="73"/>
      <c r="G628" s="73"/>
      <c r="H628" s="73"/>
      <c r="I628" s="73"/>
      <c r="J628" s="74"/>
      <c r="K628" s="73"/>
    </row>
    <row r="629" spans="2:11" x14ac:dyDescent="0.3">
      <c r="B629" s="3"/>
      <c r="C629" s="3"/>
      <c r="D629" s="3"/>
      <c r="E629" s="3"/>
      <c r="F629" s="3"/>
      <c r="G629" s="3"/>
      <c r="H629" s="3"/>
      <c r="I629" s="3"/>
      <c r="J629" s="8"/>
      <c r="K629" s="3"/>
    </row>
    <row r="630" spans="2:11" x14ac:dyDescent="0.3">
      <c r="B630" s="73"/>
      <c r="C630" s="73"/>
      <c r="D630" s="73"/>
      <c r="E630" s="73"/>
      <c r="F630" s="73"/>
      <c r="G630" s="73"/>
      <c r="H630" s="73"/>
      <c r="I630" s="73"/>
      <c r="J630" s="74"/>
      <c r="K630" s="73"/>
    </row>
    <row r="631" spans="2:11" x14ac:dyDescent="0.3">
      <c r="B631" s="3"/>
      <c r="C631" s="3"/>
      <c r="D631" s="3"/>
      <c r="E631" s="3"/>
      <c r="F631" s="3"/>
      <c r="G631" s="3"/>
      <c r="H631" s="3"/>
      <c r="I631" s="3"/>
      <c r="J631" s="8"/>
      <c r="K631" s="3"/>
    </row>
    <row r="632" spans="2:11" x14ac:dyDescent="0.3">
      <c r="B632" s="73"/>
      <c r="C632" s="73"/>
      <c r="D632" s="73"/>
      <c r="E632" s="73"/>
      <c r="F632" s="73"/>
      <c r="G632" s="73"/>
      <c r="H632" s="73"/>
      <c r="I632" s="73"/>
      <c r="J632" s="74"/>
      <c r="K632" s="73"/>
    </row>
    <row r="633" spans="2:11" x14ac:dyDescent="0.3">
      <c r="B633" s="3"/>
      <c r="C633" s="3"/>
      <c r="D633" s="3"/>
      <c r="E633" s="3"/>
      <c r="F633" s="3"/>
      <c r="G633" s="3"/>
      <c r="H633" s="3"/>
      <c r="I633" s="3"/>
      <c r="J633" s="8"/>
      <c r="K633" s="3"/>
    </row>
    <row r="634" spans="2:11" x14ac:dyDescent="0.3">
      <c r="B634" s="73"/>
      <c r="C634" s="73"/>
      <c r="D634" s="73"/>
      <c r="E634" s="73"/>
      <c r="F634" s="73"/>
      <c r="G634" s="73"/>
      <c r="H634" s="73"/>
      <c r="I634" s="73"/>
      <c r="J634" s="74"/>
      <c r="K634" s="73"/>
    </row>
    <row r="635" spans="2:11" x14ac:dyDescent="0.3">
      <c r="B635" s="3"/>
      <c r="C635" s="3"/>
      <c r="D635" s="3"/>
      <c r="E635" s="3"/>
      <c r="F635" s="3"/>
      <c r="G635" s="3"/>
      <c r="H635" s="3"/>
      <c r="I635" s="3"/>
      <c r="J635" s="8"/>
      <c r="K635" s="3"/>
    </row>
    <row r="636" spans="2:11" x14ac:dyDescent="0.3">
      <c r="B636" s="73"/>
      <c r="C636" s="73"/>
      <c r="D636" s="73"/>
      <c r="E636" s="73"/>
      <c r="F636" s="73"/>
      <c r="G636" s="73"/>
      <c r="H636" s="73"/>
      <c r="I636" s="73"/>
      <c r="J636" s="74"/>
      <c r="K636" s="73"/>
    </row>
    <row r="637" spans="2:11" x14ac:dyDescent="0.3">
      <c r="B637" s="3"/>
      <c r="C637" s="3"/>
      <c r="D637" s="3"/>
      <c r="E637" s="3"/>
      <c r="F637" s="3"/>
      <c r="G637" s="3"/>
      <c r="H637" s="3"/>
      <c r="I637" s="3"/>
      <c r="J637" s="8"/>
      <c r="K637" s="3"/>
    </row>
    <row r="638" spans="2:11" x14ac:dyDescent="0.3">
      <c r="B638" s="73"/>
      <c r="C638" s="73"/>
      <c r="D638" s="73"/>
      <c r="E638" s="73"/>
      <c r="F638" s="73"/>
      <c r="G638" s="73"/>
      <c r="H638" s="73"/>
      <c r="I638" s="73"/>
      <c r="J638" s="74"/>
      <c r="K638" s="73"/>
    </row>
    <row r="639" spans="2:11" x14ac:dyDescent="0.3">
      <c r="B639" s="3"/>
      <c r="C639" s="3"/>
      <c r="D639" s="3"/>
      <c r="E639" s="3"/>
      <c r="F639" s="3"/>
      <c r="G639" s="3"/>
      <c r="H639" s="3"/>
      <c r="I639" s="3"/>
      <c r="J639" s="8"/>
      <c r="K639" s="3"/>
    </row>
    <row r="640" spans="2:11" x14ac:dyDescent="0.3">
      <c r="B640" s="73"/>
      <c r="C640" s="73"/>
      <c r="D640" s="73"/>
      <c r="E640" s="73"/>
      <c r="F640" s="73"/>
      <c r="G640" s="73"/>
      <c r="H640" s="73"/>
      <c r="I640" s="73"/>
      <c r="J640" s="74"/>
      <c r="K640" s="73"/>
    </row>
    <row r="641" spans="2:11" x14ac:dyDescent="0.3">
      <c r="B641" s="3"/>
      <c r="C641" s="3"/>
      <c r="D641" s="3"/>
      <c r="E641" s="3"/>
      <c r="F641" s="3"/>
      <c r="G641" s="3"/>
      <c r="H641" s="3"/>
      <c r="I641" s="3"/>
      <c r="J641" s="8"/>
      <c r="K641" s="3"/>
    </row>
    <row r="642" spans="2:11" x14ac:dyDescent="0.3">
      <c r="B642" s="73"/>
      <c r="C642" s="73"/>
      <c r="D642" s="73"/>
      <c r="E642" s="73"/>
      <c r="F642" s="73"/>
      <c r="G642" s="73"/>
      <c r="H642" s="73"/>
      <c r="I642" s="73"/>
      <c r="J642" s="74"/>
      <c r="K642" s="73"/>
    </row>
    <row r="643" spans="2:11" x14ac:dyDescent="0.3">
      <c r="B643" s="3"/>
      <c r="C643" s="3"/>
      <c r="D643" s="3"/>
      <c r="E643" s="3"/>
      <c r="F643" s="3"/>
      <c r="G643" s="3"/>
      <c r="H643" s="3"/>
      <c r="I643" s="3"/>
      <c r="J643" s="8"/>
      <c r="K643" s="3"/>
    </row>
    <row r="644" spans="2:11" x14ac:dyDescent="0.3">
      <c r="B644" s="73"/>
      <c r="C644" s="73"/>
      <c r="D644" s="73"/>
      <c r="E644" s="73"/>
      <c r="F644" s="73"/>
      <c r="G644" s="73"/>
      <c r="H644" s="73"/>
      <c r="I644" s="73"/>
      <c r="J644" s="74"/>
      <c r="K644" s="73"/>
    </row>
    <row r="645" spans="2:11" x14ac:dyDescent="0.3">
      <c r="B645" s="3"/>
      <c r="C645" s="3"/>
      <c r="D645" s="3"/>
      <c r="E645" s="3"/>
      <c r="F645" s="3"/>
      <c r="G645" s="3"/>
      <c r="H645" s="3"/>
      <c r="I645" s="3"/>
      <c r="J645" s="8"/>
      <c r="K645" s="3"/>
    </row>
    <row r="646" spans="2:11" x14ac:dyDescent="0.3">
      <c r="B646" s="73"/>
      <c r="C646" s="73"/>
      <c r="D646" s="73"/>
      <c r="E646" s="73"/>
      <c r="F646" s="73"/>
      <c r="G646" s="73"/>
      <c r="H646" s="73"/>
      <c r="I646" s="73"/>
      <c r="J646" s="74"/>
      <c r="K646" s="73"/>
    </row>
    <row r="647" spans="2:11" x14ac:dyDescent="0.3">
      <c r="B647" s="3"/>
      <c r="C647" s="3"/>
      <c r="D647" s="3"/>
      <c r="E647" s="3"/>
      <c r="F647" s="3"/>
      <c r="G647" s="3"/>
      <c r="H647" s="3"/>
      <c r="I647" s="3"/>
      <c r="J647" s="8"/>
      <c r="K647" s="3"/>
    </row>
    <row r="648" spans="2:11" x14ac:dyDescent="0.3">
      <c r="B648" s="73"/>
      <c r="C648" s="73"/>
      <c r="D648" s="73"/>
      <c r="E648" s="73"/>
      <c r="F648" s="73"/>
      <c r="G648" s="73"/>
      <c r="H648" s="73"/>
      <c r="I648" s="73"/>
      <c r="J648" s="74"/>
      <c r="K648" s="73"/>
    </row>
    <row r="649" spans="2:11" x14ac:dyDescent="0.3">
      <c r="B649" s="3"/>
      <c r="C649" s="3"/>
      <c r="D649" s="3"/>
      <c r="E649" s="3"/>
      <c r="F649" s="3"/>
      <c r="G649" s="3"/>
      <c r="H649" s="3"/>
      <c r="I649" s="3"/>
      <c r="J649" s="8"/>
      <c r="K649" s="3"/>
    </row>
    <row r="650" spans="2:11" x14ac:dyDescent="0.3">
      <c r="B650" s="73"/>
      <c r="C650" s="73"/>
      <c r="D650" s="73"/>
      <c r="E650" s="73"/>
      <c r="F650" s="73"/>
      <c r="G650" s="73"/>
      <c r="H650" s="73"/>
      <c r="I650" s="73"/>
      <c r="J650" s="80"/>
      <c r="K650" s="73"/>
    </row>
    <row r="651" spans="2:11" x14ac:dyDescent="0.3">
      <c r="B651" s="3"/>
      <c r="C651" s="3"/>
      <c r="D651" s="3"/>
      <c r="E651" s="3"/>
      <c r="F651" s="3"/>
      <c r="G651" s="3"/>
      <c r="H651" s="3"/>
      <c r="I651" s="3"/>
      <c r="J651" s="8"/>
      <c r="K651" s="3"/>
    </row>
    <row r="652" spans="2:11" x14ac:dyDescent="0.3">
      <c r="B652" s="73"/>
      <c r="C652" s="73"/>
      <c r="D652" s="73"/>
      <c r="E652" s="73"/>
      <c r="F652" s="73"/>
      <c r="G652" s="73"/>
      <c r="H652" s="73"/>
      <c r="I652" s="73"/>
      <c r="J652" s="74"/>
      <c r="K652" s="73"/>
    </row>
    <row r="653" spans="2:11" x14ac:dyDescent="0.3">
      <c r="B653" s="3"/>
      <c r="C653" s="3"/>
      <c r="D653" s="3"/>
      <c r="E653" s="3"/>
      <c r="F653" s="3"/>
      <c r="G653" s="3"/>
      <c r="H653" s="3"/>
      <c r="I653" s="3"/>
      <c r="J653" s="8"/>
      <c r="K653" s="3"/>
    </row>
    <row r="654" spans="2:11" x14ac:dyDescent="0.3">
      <c r="B654" s="73"/>
      <c r="C654" s="73"/>
      <c r="D654" s="73"/>
      <c r="E654" s="73"/>
      <c r="F654" s="73"/>
      <c r="G654" s="73"/>
      <c r="H654" s="73"/>
      <c r="I654" s="73"/>
      <c r="J654" s="74"/>
      <c r="K654" s="73"/>
    </row>
    <row r="655" spans="2:11" x14ac:dyDescent="0.3">
      <c r="B655" s="3"/>
      <c r="C655" s="3"/>
      <c r="D655" s="3"/>
      <c r="E655" s="3"/>
      <c r="F655" s="3"/>
      <c r="G655" s="3"/>
      <c r="H655" s="3"/>
      <c r="I655" s="3"/>
      <c r="J655" s="8"/>
      <c r="K655" s="3"/>
    </row>
    <row r="656" spans="2:11" x14ac:dyDescent="0.3">
      <c r="B656" s="73"/>
      <c r="C656" s="73"/>
      <c r="D656" s="73"/>
      <c r="E656" s="73"/>
      <c r="F656" s="73"/>
      <c r="G656" s="73"/>
      <c r="H656" s="73"/>
      <c r="I656" s="73"/>
      <c r="J656" s="74"/>
      <c r="K656" s="73"/>
    </row>
    <row r="657" spans="2:11" x14ac:dyDescent="0.3">
      <c r="B657" s="3"/>
      <c r="C657" s="3"/>
      <c r="D657" s="3"/>
      <c r="E657" s="3"/>
      <c r="F657" s="3"/>
      <c r="G657" s="3"/>
      <c r="H657" s="3"/>
      <c r="I657" s="3"/>
      <c r="J657" s="8"/>
      <c r="K657" s="3"/>
    </row>
    <row r="658" spans="2:11" x14ac:dyDescent="0.3">
      <c r="B658" s="73"/>
      <c r="C658" s="73"/>
      <c r="D658" s="73"/>
      <c r="E658" s="73"/>
      <c r="F658" s="73"/>
      <c r="G658" s="73"/>
      <c r="H658" s="73"/>
      <c r="I658" s="73"/>
      <c r="J658" s="74"/>
      <c r="K658" s="73"/>
    </row>
    <row r="659" spans="2:11" x14ac:dyDescent="0.3">
      <c r="B659" s="3"/>
      <c r="C659" s="3"/>
      <c r="D659" s="3"/>
      <c r="E659" s="3"/>
      <c r="F659" s="3"/>
      <c r="G659" s="3"/>
      <c r="H659" s="3"/>
      <c r="I659" s="3"/>
      <c r="J659" s="8"/>
      <c r="K659" s="3"/>
    </row>
    <row r="660" spans="2:11" x14ac:dyDescent="0.3">
      <c r="B660" s="73"/>
      <c r="C660" s="73"/>
      <c r="D660" s="73"/>
      <c r="E660" s="73"/>
      <c r="F660" s="73"/>
      <c r="G660" s="73"/>
      <c r="H660" s="73"/>
      <c r="I660" s="73"/>
      <c r="J660" s="74"/>
      <c r="K660" s="73"/>
    </row>
    <row r="661" spans="2:11" x14ac:dyDescent="0.3">
      <c r="B661" s="3"/>
      <c r="C661" s="3"/>
      <c r="D661" s="3"/>
      <c r="E661" s="3"/>
      <c r="F661" s="3"/>
      <c r="G661" s="3"/>
      <c r="H661" s="3"/>
      <c r="I661" s="3"/>
      <c r="J661" s="8"/>
      <c r="K661" s="3"/>
    </row>
    <row r="662" spans="2:11" x14ac:dyDescent="0.3">
      <c r="B662" s="73"/>
      <c r="C662" s="73"/>
      <c r="D662" s="73"/>
      <c r="E662" s="73"/>
      <c r="F662" s="73"/>
      <c r="G662" s="73"/>
      <c r="H662" s="73"/>
      <c r="I662" s="73"/>
      <c r="J662" s="74"/>
      <c r="K662" s="73"/>
    </row>
    <row r="663" spans="2:11" x14ac:dyDescent="0.3">
      <c r="B663" s="3"/>
      <c r="C663" s="1"/>
      <c r="D663" s="1"/>
      <c r="E663" s="1"/>
      <c r="F663" s="1"/>
      <c r="G663" s="3"/>
      <c r="H663" s="1"/>
      <c r="I663" s="3"/>
      <c r="J663" s="9"/>
      <c r="K663" s="1"/>
    </row>
    <row r="664" spans="2:11" x14ac:dyDescent="0.3">
      <c r="B664" s="73"/>
      <c r="C664" s="75"/>
      <c r="D664" s="75"/>
      <c r="E664" s="75"/>
      <c r="F664" s="75"/>
      <c r="G664" s="73"/>
      <c r="H664" s="75"/>
      <c r="I664" s="73"/>
      <c r="J664" s="76"/>
      <c r="K664" s="75"/>
    </row>
    <row r="665" spans="2:11" x14ac:dyDescent="0.3">
      <c r="B665" s="3"/>
      <c r="C665" s="1"/>
      <c r="D665" s="1"/>
      <c r="E665" s="1"/>
      <c r="F665" s="1"/>
      <c r="G665" s="3"/>
      <c r="H665" s="1"/>
      <c r="I665" s="3"/>
      <c r="J665" s="9"/>
      <c r="K665" s="1"/>
    </row>
    <row r="666" spans="2:11" x14ac:dyDescent="0.3">
      <c r="B666" s="73"/>
      <c r="C666" s="75"/>
      <c r="D666" s="75"/>
      <c r="E666" s="75"/>
      <c r="F666" s="75"/>
      <c r="G666" s="73"/>
      <c r="H666" s="75"/>
      <c r="I666" s="73"/>
      <c r="J666" s="76"/>
      <c r="K666" s="75"/>
    </row>
    <row r="667" spans="2:11" x14ac:dyDescent="0.3">
      <c r="B667" s="3"/>
      <c r="C667" s="1"/>
      <c r="D667" s="1"/>
      <c r="E667" s="1"/>
      <c r="F667" s="1"/>
      <c r="G667" s="3"/>
      <c r="H667" s="1"/>
      <c r="I667" s="3"/>
      <c r="J667" s="9"/>
      <c r="K667" s="1"/>
    </row>
    <row r="668" spans="2:11" x14ac:dyDescent="0.3">
      <c r="B668" s="73"/>
      <c r="C668" s="75"/>
      <c r="D668" s="75"/>
      <c r="E668" s="75"/>
      <c r="F668" s="75"/>
      <c r="G668" s="73"/>
      <c r="H668" s="75"/>
      <c r="I668" s="73"/>
      <c r="J668" s="76"/>
      <c r="K668" s="75"/>
    </row>
    <row r="669" spans="2:11" x14ac:dyDescent="0.3">
      <c r="B669" s="3"/>
      <c r="C669" s="1"/>
      <c r="D669" s="1"/>
      <c r="E669" s="1"/>
      <c r="F669" s="1"/>
      <c r="G669" s="3"/>
      <c r="H669" s="1"/>
      <c r="I669" s="3"/>
      <c r="J669" s="9"/>
      <c r="K669" s="1"/>
    </row>
    <row r="670" spans="2:11" x14ac:dyDescent="0.3">
      <c r="B670" s="73"/>
      <c r="C670" s="75"/>
      <c r="D670" s="75"/>
      <c r="E670" s="75"/>
      <c r="F670" s="75"/>
      <c r="G670" s="73"/>
      <c r="H670" s="75"/>
      <c r="I670" s="73"/>
      <c r="J670" s="76"/>
      <c r="K670" s="75"/>
    </row>
    <row r="671" spans="2:11" x14ac:dyDescent="0.3">
      <c r="B671" s="3"/>
      <c r="C671" s="1"/>
      <c r="D671" s="1"/>
      <c r="E671" s="1"/>
      <c r="F671" s="1"/>
      <c r="G671" s="3"/>
      <c r="H671" s="1"/>
      <c r="I671" s="3"/>
      <c r="J671" s="9"/>
      <c r="K671" s="1"/>
    </row>
    <row r="672" spans="2:11" x14ac:dyDescent="0.3">
      <c r="B672" s="73"/>
      <c r="C672" s="75"/>
      <c r="D672" s="75"/>
      <c r="E672" s="75"/>
      <c r="F672" s="75"/>
      <c r="G672" s="73"/>
      <c r="H672" s="75"/>
      <c r="I672" s="73"/>
      <c r="J672" s="76"/>
      <c r="K672" s="75"/>
    </row>
    <row r="673" spans="2:11" x14ac:dyDescent="0.3">
      <c r="B673" s="3"/>
      <c r="C673" s="1"/>
      <c r="D673" s="1"/>
      <c r="E673" s="1"/>
      <c r="F673" s="1"/>
      <c r="G673" s="3"/>
      <c r="H673" s="1"/>
      <c r="I673" s="3"/>
      <c r="J673" s="9"/>
      <c r="K673" s="1"/>
    </row>
    <row r="674" spans="2:11" x14ac:dyDescent="0.3">
      <c r="B674" s="73"/>
      <c r="C674" s="75"/>
      <c r="D674" s="75"/>
      <c r="E674" s="75"/>
      <c r="F674" s="75"/>
      <c r="G674" s="73"/>
      <c r="H674" s="75"/>
      <c r="I674" s="73"/>
      <c r="J674" s="76"/>
      <c r="K674" s="75"/>
    </row>
    <row r="675" spans="2:11" x14ac:dyDescent="0.3">
      <c r="B675" s="3"/>
      <c r="C675" s="1"/>
      <c r="D675" s="1"/>
      <c r="E675" s="1"/>
      <c r="F675" s="1"/>
      <c r="G675" s="3"/>
      <c r="H675" s="1"/>
      <c r="I675" s="3"/>
      <c r="J675" s="9"/>
      <c r="K675" s="1"/>
    </row>
    <row r="676" spans="2:11" x14ac:dyDescent="0.3">
      <c r="B676" s="73"/>
      <c r="C676" s="75"/>
      <c r="D676" s="75"/>
      <c r="E676" s="75"/>
      <c r="F676" s="75"/>
      <c r="G676" s="73"/>
      <c r="H676" s="75"/>
      <c r="I676" s="73"/>
      <c r="J676" s="76"/>
      <c r="K676" s="75"/>
    </row>
    <row r="677" spans="2:11" x14ac:dyDescent="0.3">
      <c r="B677" s="3"/>
      <c r="C677" s="1"/>
      <c r="D677" s="1"/>
      <c r="E677" s="1"/>
      <c r="F677" s="1"/>
      <c r="G677" s="3"/>
      <c r="H677" s="1"/>
      <c r="I677" s="3"/>
      <c r="J677" s="9"/>
      <c r="K677" s="1"/>
    </row>
    <row r="678" spans="2:11" x14ac:dyDescent="0.3">
      <c r="B678" s="73"/>
      <c r="C678" s="73"/>
      <c r="D678" s="73"/>
      <c r="E678" s="75"/>
      <c r="F678" s="73"/>
      <c r="G678" s="73"/>
      <c r="H678" s="73"/>
      <c r="I678" s="73"/>
      <c r="J678" s="74"/>
      <c r="K678" s="73"/>
    </row>
    <row r="679" spans="2:11" x14ac:dyDescent="0.3">
      <c r="B679" s="3"/>
      <c r="C679" s="1"/>
      <c r="D679" s="1"/>
      <c r="E679" s="1"/>
      <c r="F679" s="1"/>
      <c r="G679" s="1"/>
      <c r="H679" s="1"/>
      <c r="I679" s="1"/>
      <c r="J679" s="9"/>
      <c r="K679" s="1"/>
    </row>
    <row r="680" spans="2:11" x14ac:dyDescent="0.3">
      <c r="B680" s="73"/>
      <c r="C680" s="75"/>
      <c r="D680" s="75"/>
      <c r="E680" s="75"/>
      <c r="F680" s="75"/>
      <c r="G680" s="75"/>
      <c r="H680" s="75"/>
      <c r="I680" s="75"/>
      <c r="J680" s="76"/>
      <c r="K680" s="75"/>
    </row>
    <row r="681" spans="2:11" x14ac:dyDescent="0.3">
      <c r="B681" s="3"/>
      <c r="C681" s="1"/>
      <c r="D681" s="1"/>
      <c r="E681" s="1"/>
      <c r="F681" s="1"/>
      <c r="G681" s="1"/>
      <c r="H681" s="1"/>
      <c r="I681" s="1"/>
      <c r="J681" s="9"/>
      <c r="K681" s="1"/>
    </row>
    <row r="682" spans="2:11" x14ac:dyDescent="0.3">
      <c r="B682" s="73"/>
      <c r="C682" s="75"/>
      <c r="D682" s="75"/>
      <c r="E682" s="75"/>
      <c r="F682" s="75"/>
      <c r="G682" s="75"/>
      <c r="H682" s="75"/>
      <c r="I682" s="75"/>
      <c r="J682" s="76"/>
      <c r="K682" s="75"/>
    </row>
    <row r="683" spans="2:11" x14ac:dyDescent="0.3">
      <c r="B683" s="3"/>
      <c r="C683" s="1"/>
      <c r="D683" s="1"/>
      <c r="E683" s="1"/>
      <c r="F683" s="1"/>
      <c r="G683" s="1"/>
      <c r="H683" s="1"/>
      <c r="I683" s="1"/>
      <c r="J683" s="9"/>
      <c r="K683" s="1"/>
    </row>
    <row r="684" spans="2:11" x14ac:dyDescent="0.3">
      <c r="B684" s="73"/>
      <c r="C684" s="75"/>
      <c r="D684" s="75"/>
      <c r="E684" s="75"/>
      <c r="F684" s="75"/>
      <c r="G684" s="75"/>
      <c r="H684" s="75"/>
      <c r="I684" s="75"/>
      <c r="J684" s="76"/>
      <c r="K684" s="75"/>
    </row>
    <row r="685" spans="2:11" x14ac:dyDescent="0.3">
      <c r="B685" s="3"/>
      <c r="C685" s="1"/>
      <c r="D685" s="1"/>
      <c r="E685" s="1"/>
      <c r="F685" s="1"/>
      <c r="G685" s="1"/>
      <c r="H685" s="1"/>
      <c r="I685" s="1"/>
      <c r="J685" s="9"/>
      <c r="K685" s="1"/>
    </row>
    <row r="686" spans="2:11" x14ac:dyDescent="0.3">
      <c r="B686" s="73"/>
      <c r="C686" s="75"/>
      <c r="D686" s="75"/>
      <c r="E686" s="75"/>
      <c r="F686" s="75"/>
      <c r="G686" s="75"/>
      <c r="H686" s="75"/>
      <c r="I686" s="75"/>
      <c r="J686" s="76"/>
      <c r="K686" s="75"/>
    </row>
    <row r="687" spans="2:11" x14ac:dyDescent="0.3">
      <c r="B687" s="3"/>
      <c r="C687" s="1"/>
      <c r="D687" s="1"/>
      <c r="E687" s="1"/>
      <c r="F687" s="1"/>
      <c r="G687" s="1"/>
      <c r="H687" s="1"/>
      <c r="I687" s="1"/>
      <c r="J687" s="9"/>
      <c r="K687" s="1"/>
    </row>
    <row r="688" spans="2:11" x14ac:dyDescent="0.3">
      <c r="B688" s="73"/>
      <c r="C688" s="75"/>
      <c r="D688" s="75"/>
      <c r="E688" s="75"/>
      <c r="F688" s="75"/>
      <c r="G688" s="75"/>
      <c r="H688" s="75"/>
      <c r="I688" s="75"/>
      <c r="J688" s="76"/>
      <c r="K688" s="75"/>
    </row>
    <row r="689" spans="2:11" x14ac:dyDescent="0.3">
      <c r="B689" s="3"/>
      <c r="C689" s="1"/>
      <c r="D689" s="1"/>
      <c r="E689" s="1"/>
      <c r="F689" s="1"/>
      <c r="G689" s="1"/>
      <c r="H689" s="1"/>
      <c r="I689" s="1"/>
      <c r="J689" s="9"/>
      <c r="K689" s="1"/>
    </row>
    <row r="690" spans="2:11" x14ac:dyDescent="0.3">
      <c r="B690" s="73"/>
      <c r="C690" s="75"/>
      <c r="D690" s="75"/>
      <c r="E690" s="75"/>
      <c r="F690" s="75"/>
      <c r="G690" s="75"/>
      <c r="H690" s="75"/>
      <c r="I690" s="75"/>
      <c r="J690" s="76"/>
      <c r="K690" s="75"/>
    </row>
    <row r="691" spans="2:11" x14ac:dyDescent="0.3">
      <c r="B691" s="3"/>
      <c r="C691" s="1"/>
      <c r="D691" s="1"/>
      <c r="E691" s="1"/>
      <c r="F691" s="1"/>
      <c r="G691" s="1"/>
      <c r="H691" s="1"/>
      <c r="I691" s="1"/>
      <c r="J691" s="9"/>
      <c r="K691" s="1"/>
    </row>
    <row r="692" spans="2:11" x14ac:dyDescent="0.3">
      <c r="B692" s="73"/>
      <c r="C692" s="75"/>
      <c r="D692" s="75"/>
      <c r="E692" s="75"/>
      <c r="F692" s="75"/>
      <c r="G692" s="75"/>
      <c r="H692" s="75"/>
      <c r="I692" s="75"/>
      <c r="J692" s="76"/>
      <c r="K692" s="75"/>
    </row>
    <row r="693" spans="2:11" x14ac:dyDescent="0.3">
      <c r="B693" s="3"/>
      <c r="C693" s="1"/>
      <c r="D693" s="1"/>
      <c r="E693" s="1"/>
      <c r="F693" s="1"/>
      <c r="G693" s="1"/>
      <c r="H693" s="1"/>
      <c r="I693" s="1"/>
      <c r="J693" s="9"/>
      <c r="K693" s="1"/>
    </row>
    <row r="694" spans="2:11" x14ac:dyDescent="0.3">
      <c r="B694" s="73"/>
      <c r="C694" s="75"/>
      <c r="D694" s="75"/>
      <c r="E694" s="75"/>
      <c r="F694" s="75"/>
      <c r="G694" s="75"/>
      <c r="H694" s="75"/>
      <c r="I694" s="75"/>
      <c r="J694" s="76"/>
      <c r="K694" s="75"/>
    </row>
    <row r="695" spans="2:11" x14ac:dyDescent="0.3">
      <c r="B695" s="3"/>
      <c r="C695" s="1"/>
      <c r="D695" s="1"/>
      <c r="E695" s="1"/>
      <c r="F695" s="1"/>
      <c r="G695" s="3"/>
      <c r="H695" s="1"/>
      <c r="I695" s="3"/>
      <c r="J695" s="9"/>
      <c r="K695" s="1"/>
    </row>
    <row r="696" spans="2:11" x14ac:dyDescent="0.3">
      <c r="B696" s="73"/>
      <c r="C696" s="73"/>
      <c r="D696" s="73"/>
      <c r="E696" s="73"/>
      <c r="F696" s="73"/>
      <c r="G696" s="73"/>
      <c r="H696" s="73"/>
      <c r="I696" s="73"/>
      <c r="J696" s="74"/>
      <c r="K696" s="73"/>
    </row>
    <row r="697" spans="2:11" x14ac:dyDescent="0.3">
      <c r="B697" s="3"/>
      <c r="C697" s="3"/>
      <c r="D697" s="3"/>
      <c r="E697" s="3"/>
      <c r="F697" s="3"/>
      <c r="G697" s="3"/>
      <c r="H697" s="3"/>
      <c r="I697" s="3"/>
      <c r="J697" s="8"/>
      <c r="K697" s="3"/>
    </row>
    <row r="698" spans="2:11" x14ac:dyDescent="0.3">
      <c r="B698" s="73"/>
      <c r="C698" s="73"/>
      <c r="D698" s="73"/>
      <c r="E698" s="73"/>
      <c r="F698" s="73"/>
      <c r="G698" s="73"/>
      <c r="H698" s="73"/>
      <c r="I698" s="73"/>
      <c r="J698" s="74"/>
      <c r="K698" s="73"/>
    </row>
    <row r="699" spans="2:11" x14ac:dyDescent="0.3">
      <c r="B699" s="3"/>
      <c r="C699" s="3"/>
      <c r="D699" s="3"/>
      <c r="E699" s="3"/>
      <c r="F699" s="3"/>
      <c r="G699" s="3"/>
      <c r="H699" s="3"/>
      <c r="I699" s="3"/>
      <c r="J699" s="8"/>
      <c r="K699" s="3"/>
    </row>
    <row r="700" spans="2:11" x14ac:dyDescent="0.3">
      <c r="B700" s="73"/>
      <c r="C700" s="73"/>
      <c r="D700" s="73"/>
      <c r="E700" s="73"/>
      <c r="F700" s="73"/>
      <c r="G700" s="73"/>
      <c r="H700" s="73"/>
      <c r="I700" s="73"/>
      <c r="J700" s="74"/>
      <c r="K700" s="73"/>
    </row>
    <row r="701" spans="2:11" x14ac:dyDescent="0.3">
      <c r="B701" s="3"/>
      <c r="C701" s="3"/>
      <c r="D701" s="3"/>
      <c r="E701" s="3"/>
      <c r="F701" s="3"/>
      <c r="G701" s="3"/>
      <c r="H701" s="3"/>
      <c r="I701" s="3"/>
      <c r="J701" s="8"/>
      <c r="K701" s="3"/>
    </row>
    <row r="702" spans="2:11" x14ac:dyDescent="0.3">
      <c r="B702" s="73"/>
      <c r="C702" s="73"/>
      <c r="D702" s="73"/>
      <c r="E702" s="73"/>
      <c r="F702" s="73"/>
      <c r="G702" s="73"/>
      <c r="H702" s="73"/>
      <c r="I702" s="73"/>
      <c r="J702" s="74"/>
      <c r="K702" s="73"/>
    </row>
    <row r="703" spans="2:11" x14ac:dyDescent="0.3">
      <c r="B703" s="3"/>
      <c r="C703" s="3"/>
      <c r="D703" s="3"/>
      <c r="E703" s="3"/>
      <c r="F703" s="3"/>
      <c r="G703" s="3"/>
      <c r="H703" s="3"/>
      <c r="I703" s="3"/>
      <c r="J703" s="8"/>
      <c r="K703" s="3"/>
    </row>
    <row r="704" spans="2:11" x14ac:dyDescent="0.3">
      <c r="B704" s="73"/>
      <c r="C704" s="73"/>
      <c r="D704" s="73"/>
      <c r="E704" s="73"/>
      <c r="F704" s="73"/>
      <c r="G704" s="73"/>
      <c r="H704" s="73"/>
      <c r="I704" s="73"/>
      <c r="J704" s="74"/>
      <c r="K704" s="73"/>
    </row>
    <row r="705" spans="2:11" x14ac:dyDescent="0.3">
      <c r="B705" s="3"/>
      <c r="C705" s="3"/>
      <c r="D705" s="3"/>
      <c r="E705" s="3"/>
      <c r="F705" s="3"/>
      <c r="G705" s="3"/>
      <c r="H705" s="3"/>
      <c r="I705" s="3"/>
      <c r="J705" s="8"/>
      <c r="K705" s="3"/>
    </row>
    <row r="706" spans="2:11" x14ac:dyDescent="0.3">
      <c r="B706" s="73"/>
      <c r="C706" s="73"/>
      <c r="D706" s="73"/>
      <c r="E706" s="73"/>
      <c r="F706" s="73"/>
      <c r="G706" s="73"/>
      <c r="H706" s="73"/>
      <c r="I706" s="73"/>
      <c r="J706" s="74"/>
      <c r="K706" s="73"/>
    </row>
    <row r="707" spans="2:11" x14ac:dyDescent="0.3">
      <c r="B707" s="3"/>
      <c r="C707" s="4"/>
      <c r="D707" s="3"/>
      <c r="E707" s="3"/>
      <c r="F707" s="3"/>
      <c r="G707" s="3"/>
      <c r="H707" s="3"/>
      <c r="I707" s="3"/>
      <c r="J707" s="8"/>
      <c r="K707" s="3"/>
    </row>
    <row r="708" spans="2:11" x14ac:dyDescent="0.3">
      <c r="B708" s="73"/>
      <c r="C708" s="73"/>
      <c r="D708" s="73"/>
      <c r="E708" s="73"/>
      <c r="F708" s="73"/>
      <c r="G708" s="73"/>
      <c r="H708" s="73"/>
      <c r="I708" s="73"/>
      <c r="J708" s="74"/>
      <c r="K708" s="73"/>
    </row>
    <row r="709" spans="2:11" x14ac:dyDescent="0.3">
      <c r="B709" s="3"/>
      <c r="C709" s="3"/>
      <c r="D709" s="3"/>
      <c r="E709" s="3"/>
      <c r="F709" s="3"/>
      <c r="G709" s="3"/>
      <c r="H709" s="3"/>
      <c r="I709" s="3"/>
      <c r="J709" s="8"/>
      <c r="K709" s="3"/>
    </row>
    <row r="710" spans="2:11" x14ac:dyDescent="0.3">
      <c r="B710" s="73"/>
      <c r="C710" s="75"/>
      <c r="D710" s="75"/>
      <c r="E710" s="75"/>
      <c r="F710" s="75"/>
      <c r="G710" s="73"/>
      <c r="H710" s="75"/>
      <c r="I710" s="73"/>
      <c r="J710" s="76"/>
      <c r="K710" s="75"/>
    </row>
    <row r="711" spans="2:11" x14ac:dyDescent="0.3">
      <c r="B711" s="3"/>
      <c r="C711" s="3"/>
      <c r="D711" s="3"/>
      <c r="E711" s="3"/>
      <c r="F711" s="3"/>
      <c r="G711" s="3"/>
      <c r="H711" s="3"/>
      <c r="I711" s="3"/>
      <c r="J711" s="8"/>
      <c r="K711" s="3"/>
    </row>
    <row r="712" spans="2:11" x14ac:dyDescent="0.3">
      <c r="B712" s="73"/>
      <c r="C712" s="73"/>
      <c r="D712" s="73"/>
      <c r="E712" s="73"/>
      <c r="F712" s="73"/>
      <c r="G712" s="73"/>
      <c r="H712" s="73"/>
      <c r="I712" s="73"/>
      <c r="J712" s="74"/>
      <c r="K712" s="73"/>
    </row>
    <row r="713" spans="2:11" x14ac:dyDescent="0.3">
      <c r="B713" s="3"/>
      <c r="C713" s="3"/>
      <c r="D713" s="3"/>
      <c r="E713" s="3"/>
      <c r="F713" s="3"/>
      <c r="G713" s="3"/>
      <c r="H713" s="3"/>
      <c r="I713" s="3"/>
      <c r="J713" s="8"/>
      <c r="K713" s="3"/>
    </row>
    <row r="714" spans="2:11" x14ac:dyDescent="0.3">
      <c r="B714" s="73"/>
      <c r="C714" s="73"/>
      <c r="D714" s="73"/>
      <c r="E714" s="73"/>
      <c r="F714" s="73"/>
      <c r="G714" s="73"/>
      <c r="H714" s="73"/>
      <c r="I714" s="73"/>
      <c r="J714" s="74"/>
      <c r="K714" s="73"/>
    </row>
    <row r="715" spans="2:11" x14ac:dyDescent="0.3">
      <c r="B715" s="3"/>
      <c r="C715" s="3"/>
      <c r="D715" s="3"/>
      <c r="E715" s="3"/>
      <c r="F715" s="3"/>
      <c r="G715" s="3"/>
      <c r="H715" s="3"/>
      <c r="I715" s="3"/>
      <c r="J715" s="8"/>
      <c r="K715" s="3"/>
    </row>
    <row r="716" spans="2:11" x14ac:dyDescent="0.3">
      <c r="B716" s="73"/>
      <c r="C716" s="73"/>
      <c r="D716" s="73"/>
      <c r="E716" s="73"/>
      <c r="F716" s="73"/>
      <c r="G716" s="73"/>
      <c r="H716" s="73"/>
      <c r="I716" s="73"/>
      <c r="J716" s="74"/>
      <c r="K716" s="73"/>
    </row>
    <row r="717" spans="2:11" x14ac:dyDescent="0.3">
      <c r="B717" s="3"/>
      <c r="C717" s="3"/>
      <c r="D717" s="3"/>
      <c r="E717" s="3"/>
      <c r="F717" s="3"/>
      <c r="G717" s="3"/>
      <c r="H717" s="3"/>
      <c r="I717" s="3"/>
      <c r="J717" s="8"/>
      <c r="K717" s="3"/>
    </row>
    <row r="718" spans="2:11" x14ac:dyDescent="0.3">
      <c r="B718" s="73"/>
      <c r="C718" s="73"/>
      <c r="D718" s="73"/>
      <c r="E718" s="73"/>
      <c r="F718" s="73"/>
      <c r="G718" s="73"/>
      <c r="H718" s="73"/>
      <c r="I718" s="73"/>
      <c r="J718" s="74"/>
      <c r="K718" s="73"/>
    </row>
    <row r="719" spans="2:11" x14ac:dyDescent="0.3">
      <c r="B719" s="3"/>
      <c r="C719" s="3"/>
      <c r="D719" s="3"/>
      <c r="E719" s="3"/>
      <c r="F719" s="3"/>
      <c r="G719" s="3"/>
      <c r="H719" s="3"/>
      <c r="I719" s="3"/>
      <c r="J719" s="8"/>
      <c r="K719" s="3"/>
    </row>
    <row r="720" spans="2:11" x14ac:dyDescent="0.3">
      <c r="B720" s="73"/>
      <c r="C720" s="73"/>
      <c r="D720" s="73"/>
      <c r="E720" s="73"/>
      <c r="F720" s="73"/>
      <c r="G720" s="73"/>
      <c r="H720" s="73"/>
      <c r="I720" s="73"/>
      <c r="J720" s="74"/>
      <c r="K720" s="73"/>
    </row>
    <row r="721" spans="2:11" x14ac:dyDescent="0.3">
      <c r="B721" s="3"/>
      <c r="C721" s="3"/>
      <c r="D721" s="3"/>
      <c r="E721" s="3"/>
      <c r="F721" s="3"/>
      <c r="G721" s="3"/>
      <c r="H721" s="3"/>
      <c r="I721" s="3"/>
      <c r="J721" s="8"/>
      <c r="K721" s="3"/>
    </row>
    <row r="722" spans="2:11" x14ac:dyDescent="0.3">
      <c r="B722" s="73"/>
      <c r="C722" s="73"/>
      <c r="D722" s="73"/>
      <c r="E722" s="73"/>
      <c r="F722" s="73"/>
      <c r="G722" s="73"/>
      <c r="H722" s="73"/>
      <c r="I722" s="73"/>
      <c r="J722" s="74"/>
      <c r="K722" s="73"/>
    </row>
    <row r="723" spans="2:11" x14ac:dyDescent="0.3">
      <c r="B723" s="3"/>
      <c r="C723" s="3"/>
      <c r="D723" s="3"/>
      <c r="E723" s="3"/>
      <c r="F723" s="3"/>
      <c r="G723" s="3"/>
      <c r="H723" s="3"/>
      <c r="I723" s="3"/>
      <c r="J723" s="8"/>
      <c r="K723" s="3"/>
    </row>
    <row r="724" spans="2:11" x14ac:dyDescent="0.3">
      <c r="B724" s="73"/>
      <c r="C724" s="73"/>
      <c r="D724" s="73"/>
      <c r="E724" s="73"/>
      <c r="F724" s="73"/>
      <c r="G724" s="73"/>
      <c r="H724" s="73"/>
      <c r="I724" s="73"/>
      <c r="J724" s="74"/>
      <c r="K724" s="73"/>
    </row>
    <row r="725" spans="2:11" x14ac:dyDescent="0.3">
      <c r="B725" s="3"/>
      <c r="C725" s="3"/>
      <c r="D725" s="3"/>
      <c r="E725" s="3"/>
      <c r="F725" s="3"/>
      <c r="G725" s="3"/>
      <c r="H725" s="3"/>
      <c r="I725" s="3"/>
      <c r="J725" s="8"/>
      <c r="K725" s="3"/>
    </row>
    <row r="726" spans="2:11" x14ac:dyDescent="0.3">
      <c r="B726" s="73"/>
      <c r="C726" s="73"/>
      <c r="D726" s="73"/>
      <c r="E726" s="73"/>
      <c r="F726" s="73"/>
      <c r="G726" s="73"/>
      <c r="H726" s="73"/>
      <c r="I726" s="73"/>
      <c r="J726" s="74"/>
      <c r="K726" s="73"/>
    </row>
    <row r="727" spans="2:11" x14ac:dyDescent="0.3">
      <c r="B727" s="3"/>
      <c r="C727" s="3"/>
      <c r="D727" s="3"/>
      <c r="E727" s="3"/>
      <c r="F727" s="3"/>
      <c r="G727" s="3"/>
      <c r="H727" s="3"/>
      <c r="I727" s="3"/>
      <c r="J727" s="8"/>
      <c r="K727" s="3"/>
    </row>
    <row r="728" spans="2:11" x14ac:dyDescent="0.3">
      <c r="B728" s="73"/>
      <c r="C728" s="73"/>
      <c r="D728" s="73"/>
      <c r="E728" s="73"/>
      <c r="F728" s="73"/>
      <c r="G728" s="73"/>
      <c r="H728" s="73"/>
      <c r="I728" s="73"/>
      <c r="J728" s="74"/>
      <c r="K728" s="73"/>
    </row>
    <row r="729" spans="2:11" x14ac:dyDescent="0.3">
      <c r="B729" s="3"/>
      <c r="C729" s="3"/>
      <c r="D729" s="3"/>
      <c r="E729" s="3"/>
      <c r="F729" s="3"/>
      <c r="G729" s="3"/>
      <c r="H729" s="3"/>
      <c r="I729" s="3"/>
      <c r="J729" s="8"/>
      <c r="K729" s="3"/>
    </row>
    <row r="730" spans="2:11" x14ac:dyDescent="0.3">
      <c r="B730" s="73"/>
      <c r="C730" s="73"/>
      <c r="D730" s="73"/>
      <c r="E730" s="73"/>
      <c r="F730" s="73"/>
      <c r="G730" s="73"/>
      <c r="H730" s="73"/>
      <c r="I730" s="73"/>
      <c r="J730" s="74"/>
      <c r="K730" s="73"/>
    </row>
    <row r="731" spans="2:11" x14ac:dyDescent="0.3">
      <c r="B731" s="3"/>
      <c r="C731" s="3"/>
      <c r="D731" s="3"/>
      <c r="E731" s="3"/>
      <c r="F731" s="3"/>
      <c r="G731" s="3"/>
      <c r="H731" s="3"/>
      <c r="I731" s="3"/>
      <c r="J731" s="8"/>
      <c r="K731" s="3"/>
    </row>
    <row r="732" spans="2:11" x14ac:dyDescent="0.3">
      <c r="B732" s="73"/>
      <c r="C732" s="75"/>
      <c r="D732" s="75"/>
      <c r="E732" s="75"/>
      <c r="F732" s="75"/>
      <c r="G732" s="73"/>
      <c r="H732" s="75"/>
      <c r="I732" s="73"/>
      <c r="J732" s="76"/>
      <c r="K732" s="75"/>
    </row>
    <row r="733" spans="2:11" x14ac:dyDescent="0.3">
      <c r="B733" s="3"/>
      <c r="C733" s="3"/>
      <c r="D733" s="3"/>
      <c r="E733" s="3"/>
      <c r="F733" s="3"/>
      <c r="G733" s="3"/>
      <c r="H733" s="3"/>
      <c r="I733" s="3"/>
      <c r="J733" s="14"/>
      <c r="K733" s="3"/>
    </row>
    <row r="734" spans="2:11" x14ac:dyDescent="0.3">
      <c r="B734" s="73"/>
      <c r="C734" s="73"/>
      <c r="D734" s="73"/>
      <c r="E734" s="73"/>
      <c r="F734" s="73"/>
      <c r="G734" s="73"/>
      <c r="H734" s="73"/>
      <c r="I734" s="73"/>
      <c r="J734" s="83"/>
      <c r="K734" s="73"/>
    </row>
    <row r="735" spans="2:11" x14ac:dyDescent="0.3">
      <c r="B735" s="3"/>
      <c r="C735" s="3"/>
      <c r="D735" s="3"/>
      <c r="E735" s="3"/>
      <c r="F735" s="3"/>
      <c r="G735" s="3"/>
      <c r="H735" s="3"/>
      <c r="I735" s="3"/>
      <c r="J735" s="14"/>
      <c r="K735" s="3"/>
    </row>
    <row r="736" spans="2:11" x14ac:dyDescent="0.3">
      <c r="B736" s="73"/>
      <c r="C736" s="73"/>
      <c r="D736" s="73"/>
      <c r="E736" s="73"/>
      <c r="F736" s="73"/>
      <c r="G736" s="73"/>
      <c r="H736" s="73"/>
      <c r="I736" s="73"/>
      <c r="J736" s="83"/>
      <c r="K736" s="73"/>
    </row>
    <row r="737" spans="2:11" x14ac:dyDescent="0.3">
      <c r="B737" s="3"/>
      <c r="C737" s="3"/>
      <c r="D737" s="3"/>
      <c r="E737" s="3"/>
      <c r="F737" s="3"/>
      <c r="G737" s="3"/>
      <c r="H737" s="3"/>
      <c r="I737" s="3"/>
      <c r="J737" s="14"/>
      <c r="K737" s="3"/>
    </row>
    <row r="738" spans="2:11" x14ac:dyDescent="0.3">
      <c r="B738" s="73"/>
      <c r="C738" s="73"/>
      <c r="D738" s="73"/>
      <c r="E738" s="73"/>
      <c r="F738" s="73"/>
      <c r="G738" s="73"/>
      <c r="H738" s="73"/>
      <c r="I738" s="73"/>
      <c r="J738" s="83"/>
      <c r="K738" s="73"/>
    </row>
    <row r="739" spans="2:11" x14ac:dyDescent="0.3">
      <c r="B739" s="3"/>
      <c r="C739" s="3"/>
      <c r="D739" s="3"/>
      <c r="E739" s="3"/>
      <c r="F739" s="3"/>
      <c r="G739" s="3"/>
      <c r="H739" s="3"/>
      <c r="I739" s="3"/>
      <c r="J739" s="14"/>
      <c r="K739" s="3"/>
    </row>
    <row r="740" spans="2:11" x14ac:dyDescent="0.3">
      <c r="B740" s="73"/>
      <c r="C740" s="73"/>
      <c r="D740" s="73"/>
      <c r="E740" s="73"/>
      <c r="F740" s="73"/>
      <c r="G740" s="73"/>
      <c r="H740" s="73"/>
      <c r="I740" s="73"/>
      <c r="J740" s="83"/>
      <c r="K740" s="73"/>
    </row>
    <row r="741" spans="2:11" x14ac:dyDescent="0.3">
      <c r="B741" s="3"/>
      <c r="C741" s="3"/>
      <c r="D741" s="3"/>
      <c r="E741" s="3"/>
      <c r="F741" s="3"/>
      <c r="G741" s="3"/>
      <c r="H741" s="3"/>
      <c r="I741" s="3"/>
      <c r="J741" s="14"/>
      <c r="K741" s="3"/>
    </row>
    <row r="742" spans="2:11" x14ac:dyDescent="0.3">
      <c r="B742" s="73"/>
      <c r="C742" s="73"/>
      <c r="D742" s="73"/>
      <c r="E742" s="73"/>
      <c r="F742" s="73"/>
      <c r="G742" s="73"/>
      <c r="H742" s="73"/>
      <c r="I742" s="73"/>
      <c r="J742" s="83"/>
      <c r="K742" s="73"/>
    </row>
    <row r="743" spans="2:11" x14ac:dyDescent="0.3">
      <c r="B743" s="3"/>
      <c r="C743" s="3"/>
      <c r="D743" s="3"/>
      <c r="E743" s="3"/>
      <c r="F743" s="3"/>
      <c r="G743" s="3"/>
      <c r="H743" s="3"/>
      <c r="I743" s="3"/>
      <c r="J743" s="14"/>
      <c r="K743" s="3"/>
    </row>
    <row r="744" spans="2:11" x14ac:dyDescent="0.3">
      <c r="B744" s="73"/>
      <c r="C744" s="73"/>
      <c r="D744" s="73"/>
      <c r="E744" s="73"/>
      <c r="F744" s="73"/>
      <c r="G744" s="73"/>
      <c r="H744" s="73"/>
      <c r="I744" s="73"/>
      <c r="J744" s="83"/>
      <c r="K744" s="73"/>
    </row>
    <row r="745" spans="2:11" x14ac:dyDescent="0.3">
      <c r="B745" s="3"/>
      <c r="C745" s="3"/>
      <c r="D745" s="3"/>
      <c r="E745" s="3"/>
      <c r="F745" s="3"/>
      <c r="G745" s="3"/>
      <c r="H745" s="3"/>
      <c r="I745" s="3"/>
      <c r="J745" s="14"/>
      <c r="K745" s="3"/>
    </row>
    <row r="746" spans="2:11" x14ac:dyDescent="0.3">
      <c r="B746" s="73"/>
      <c r="C746" s="73"/>
      <c r="D746" s="73"/>
      <c r="E746" s="73"/>
      <c r="F746" s="73"/>
      <c r="G746" s="73"/>
      <c r="H746" s="73"/>
      <c r="I746" s="73"/>
      <c r="J746" s="83"/>
      <c r="K746" s="73"/>
    </row>
    <row r="747" spans="2:11" x14ac:dyDescent="0.3">
      <c r="B747" s="3"/>
      <c r="C747" s="3"/>
      <c r="D747" s="3"/>
      <c r="E747" s="3"/>
      <c r="F747" s="3"/>
      <c r="G747" s="3"/>
      <c r="H747" s="3"/>
      <c r="I747" s="3"/>
      <c r="J747" s="14"/>
      <c r="K747" s="3"/>
    </row>
    <row r="748" spans="2:11" x14ac:dyDescent="0.3">
      <c r="B748" s="73"/>
      <c r="C748" s="73"/>
      <c r="D748" s="73"/>
      <c r="E748" s="73"/>
      <c r="F748" s="73"/>
      <c r="G748" s="73"/>
      <c r="H748" s="73"/>
      <c r="I748" s="73"/>
      <c r="J748" s="83"/>
      <c r="K748" s="73"/>
    </row>
    <row r="749" spans="2:11" x14ac:dyDescent="0.3">
      <c r="B749" s="3"/>
      <c r="C749" s="1"/>
      <c r="D749" s="1"/>
      <c r="E749" s="1"/>
      <c r="F749" s="1"/>
      <c r="G749" s="3"/>
      <c r="H749" s="1"/>
      <c r="I749" s="3"/>
      <c r="J749" s="9"/>
      <c r="K749" s="1"/>
    </row>
    <row r="750" spans="2:11" x14ac:dyDescent="0.3">
      <c r="B750" s="73"/>
      <c r="C750" s="73"/>
      <c r="D750" s="73"/>
      <c r="E750" s="73"/>
      <c r="F750" s="73"/>
      <c r="G750" s="73"/>
      <c r="H750" s="73"/>
      <c r="I750" s="73"/>
      <c r="J750" s="74"/>
      <c r="K750" s="73"/>
    </row>
    <row r="751" spans="2:11" x14ac:dyDescent="0.3">
      <c r="B751" s="3"/>
      <c r="C751" s="1"/>
      <c r="D751" s="1"/>
      <c r="E751" s="1"/>
      <c r="F751" s="1"/>
      <c r="G751" s="3"/>
      <c r="H751" s="1"/>
      <c r="I751" s="3"/>
      <c r="J751" s="9"/>
      <c r="K751" s="1"/>
    </row>
    <row r="752" spans="2:11" x14ac:dyDescent="0.3">
      <c r="B752" s="73"/>
      <c r="C752" s="75"/>
      <c r="D752" s="75"/>
      <c r="E752" s="75"/>
      <c r="F752" s="75"/>
      <c r="G752" s="73"/>
      <c r="H752" s="75"/>
      <c r="I752" s="73"/>
      <c r="J752" s="76"/>
      <c r="K752" s="75"/>
    </row>
    <row r="753" spans="2:11" x14ac:dyDescent="0.3">
      <c r="B753" s="3"/>
      <c r="C753" s="1"/>
      <c r="D753" s="1"/>
      <c r="E753" s="1"/>
      <c r="F753" s="1"/>
      <c r="G753" s="3"/>
      <c r="H753" s="1"/>
      <c r="I753" s="3"/>
      <c r="J753" s="9"/>
      <c r="K753" s="1"/>
    </row>
    <row r="754" spans="2:11" x14ac:dyDescent="0.3">
      <c r="B754" s="73"/>
      <c r="C754" s="75"/>
      <c r="D754" s="75"/>
      <c r="E754" s="75"/>
      <c r="F754" s="75"/>
      <c r="G754" s="73"/>
      <c r="H754" s="75"/>
      <c r="I754" s="73"/>
      <c r="J754" s="76"/>
      <c r="K754" s="75"/>
    </row>
    <row r="755" spans="2:11" x14ac:dyDescent="0.3">
      <c r="B755" s="3"/>
      <c r="C755" s="1"/>
      <c r="D755" s="1"/>
      <c r="E755" s="1"/>
      <c r="F755" s="1"/>
      <c r="G755" s="3"/>
      <c r="H755" s="1"/>
      <c r="I755" s="3"/>
      <c r="J755" s="9"/>
      <c r="K755" s="1"/>
    </row>
    <row r="756" spans="2:11" x14ac:dyDescent="0.3">
      <c r="B756" s="73"/>
      <c r="C756" s="75"/>
      <c r="D756" s="75"/>
      <c r="E756" s="75"/>
      <c r="F756" s="75"/>
      <c r="G756" s="73"/>
      <c r="H756" s="75"/>
      <c r="I756" s="73"/>
      <c r="J756" s="76"/>
      <c r="K756" s="75"/>
    </row>
    <row r="757" spans="2:11" x14ac:dyDescent="0.3">
      <c r="B757" s="3"/>
      <c r="C757" s="1"/>
      <c r="D757" s="1"/>
      <c r="E757" s="1"/>
      <c r="F757" s="1"/>
      <c r="G757" s="3"/>
      <c r="H757" s="1"/>
      <c r="I757" s="3"/>
      <c r="J757" s="9"/>
      <c r="K757" s="1"/>
    </row>
    <row r="758" spans="2:11" x14ac:dyDescent="0.3">
      <c r="B758" s="73"/>
      <c r="C758" s="75"/>
      <c r="D758" s="75"/>
      <c r="E758" s="75"/>
      <c r="F758" s="75"/>
      <c r="G758" s="73"/>
      <c r="H758" s="75"/>
      <c r="I758" s="73"/>
      <c r="J758" s="76"/>
      <c r="K758" s="75"/>
    </row>
    <row r="759" spans="2:11" x14ac:dyDescent="0.3">
      <c r="B759" s="3"/>
      <c r="C759" s="1"/>
      <c r="D759" s="1"/>
      <c r="E759" s="1"/>
      <c r="F759" s="1"/>
      <c r="G759" s="3"/>
      <c r="H759" s="1"/>
      <c r="I759" s="3"/>
      <c r="J759" s="9"/>
      <c r="K759" s="1"/>
    </row>
    <row r="760" spans="2:11" x14ac:dyDescent="0.3">
      <c r="B760" s="73"/>
      <c r="C760" s="75"/>
      <c r="D760" s="75"/>
      <c r="E760" s="75"/>
      <c r="F760" s="75"/>
      <c r="G760" s="73"/>
      <c r="H760" s="75"/>
      <c r="I760" s="73"/>
      <c r="J760" s="76"/>
      <c r="K760" s="75"/>
    </row>
    <row r="761" spans="2:11" x14ac:dyDescent="0.3">
      <c r="B761" s="3"/>
      <c r="C761" s="1"/>
      <c r="D761" s="1"/>
      <c r="E761" s="1"/>
      <c r="F761" s="1"/>
      <c r="G761" s="3"/>
      <c r="H761" s="1"/>
      <c r="I761" s="3"/>
      <c r="J761" s="9"/>
      <c r="K761" s="1"/>
    </row>
    <row r="762" spans="2:11" x14ac:dyDescent="0.3">
      <c r="B762" s="73"/>
      <c r="C762" s="75"/>
      <c r="D762" s="75"/>
      <c r="E762" s="75"/>
      <c r="F762" s="75"/>
      <c r="G762" s="73"/>
      <c r="H762" s="75"/>
      <c r="I762" s="73"/>
      <c r="J762" s="76"/>
      <c r="K762" s="75"/>
    </row>
    <row r="763" spans="2:11" x14ac:dyDescent="0.3">
      <c r="B763" s="3"/>
      <c r="C763" s="1"/>
      <c r="D763" s="1"/>
      <c r="E763" s="1"/>
      <c r="F763" s="1"/>
      <c r="G763" s="3"/>
      <c r="H763" s="1"/>
      <c r="I763" s="3"/>
      <c r="J763" s="9"/>
      <c r="K763" s="1"/>
    </row>
    <row r="764" spans="2:11" x14ac:dyDescent="0.3">
      <c r="B764" s="73"/>
      <c r="C764" s="75"/>
      <c r="D764" s="75"/>
      <c r="E764" s="75"/>
      <c r="F764" s="75"/>
      <c r="G764" s="73"/>
      <c r="H764" s="75"/>
      <c r="I764" s="73"/>
      <c r="J764" s="76"/>
      <c r="K764" s="75"/>
    </row>
    <row r="765" spans="2:11" x14ac:dyDescent="0.3">
      <c r="B765" s="3"/>
      <c r="C765" s="1"/>
      <c r="D765" s="1"/>
      <c r="E765" s="1"/>
      <c r="F765" s="1"/>
      <c r="G765" s="3"/>
      <c r="H765" s="1"/>
      <c r="I765" s="3"/>
      <c r="J765" s="9"/>
      <c r="K765" s="1"/>
    </row>
    <row r="766" spans="2:11" x14ac:dyDescent="0.3">
      <c r="B766" s="73"/>
      <c r="C766" s="73"/>
      <c r="D766" s="73"/>
      <c r="E766" s="75"/>
      <c r="F766" s="73"/>
      <c r="G766" s="73"/>
      <c r="H766" s="73"/>
      <c r="I766" s="73"/>
      <c r="J766" s="74"/>
      <c r="K766" s="73"/>
    </row>
    <row r="767" spans="2:11" x14ac:dyDescent="0.3">
      <c r="B767" s="3"/>
      <c r="C767" s="3"/>
      <c r="D767" s="3"/>
      <c r="E767" s="3"/>
      <c r="F767" s="3"/>
      <c r="G767" s="3"/>
      <c r="H767" s="3"/>
      <c r="I767" s="3"/>
      <c r="J767" s="8"/>
      <c r="K767" s="3"/>
    </row>
    <row r="768" spans="2:11" x14ac:dyDescent="0.3">
      <c r="B768" s="73"/>
      <c r="C768" s="73"/>
      <c r="D768" s="73"/>
      <c r="E768" s="73"/>
      <c r="F768" s="73"/>
      <c r="G768" s="73"/>
      <c r="H768" s="73"/>
      <c r="I768" s="73"/>
      <c r="J768" s="74"/>
      <c r="K768" s="73"/>
    </row>
    <row r="769" spans="2:11" x14ac:dyDescent="0.3">
      <c r="B769" s="3"/>
      <c r="C769" s="3"/>
      <c r="D769" s="3"/>
      <c r="E769" s="3"/>
      <c r="F769" s="3"/>
      <c r="G769" s="3"/>
      <c r="H769" s="3"/>
      <c r="I769" s="3"/>
      <c r="J769" s="8"/>
      <c r="K769" s="3"/>
    </row>
    <row r="770" spans="2:11" x14ac:dyDescent="0.3">
      <c r="B770" s="73"/>
      <c r="C770" s="73"/>
      <c r="D770" s="73"/>
      <c r="E770" s="73"/>
      <c r="F770" s="73"/>
      <c r="G770" s="73"/>
      <c r="H770" s="73"/>
      <c r="I770" s="73"/>
      <c r="J770" s="74"/>
      <c r="K770" s="73"/>
    </row>
    <row r="771" spans="2:11" x14ac:dyDescent="0.3">
      <c r="B771" s="3"/>
      <c r="C771" s="3"/>
      <c r="D771" s="3"/>
      <c r="E771" s="3"/>
      <c r="F771" s="3"/>
      <c r="G771" s="3"/>
      <c r="H771" s="3"/>
      <c r="I771" s="3"/>
      <c r="J771" s="8"/>
      <c r="K771" s="3"/>
    </row>
    <row r="772" spans="2:11" x14ac:dyDescent="0.3">
      <c r="B772" s="73"/>
      <c r="C772" s="73"/>
      <c r="D772" s="73"/>
      <c r="E772" s="73"/>
      <c r="F772" s="73"/>
      <c r="G772" s="73"/>
      <c r="H772" s="73"/>
      <c r="I772" s="73"/>
      <c r="J772" s="74"/>
      <c r="K772" s="73"/>
    </row>
    <row r="773" spans="2:11" x14ac:dyDescent="0.3">
      <c r="B773" s="3"/>
      <c r="C773" s="3"/>
      <c r="D773" s="3"/>
      <c r="E773" s="3"/>
      <c r="F773" s="3"/>
      <c r="G773" s="3"/>
      <c r="H773" s="3"/>
      <c r="I773" s="3"/>
      <c r="J773" s="8"/>
      <c r="K773" s="3"/>
    </row>
    <row r="774" spans="2:11" x14ac:dyDescent="0.3">
      <c r="B774" s="73"/>
      <c r="C774" s="73"/>
      <c r="D774" s="73"/>
      <c r="E774" s="73"/>
      <c r="F774" s="73"/>
      <c r="G774" s="73"/>
      <c r="H774" s="73"/>
      <c r="I774" s="73"/>
      <c r="J774" s="74"/>
      <c r="K774" s="73"/>
    </row>
    <row r="775" spans="2:11" x14ac:dyDescent="0.3">
      <c r="B775" s="3"/>
      <c r="C775" s="3"/>
      <c r="D775" s="3"/>
      <c r="E775" s="3"/>
      <c r="F775" s="3"/>
      <c r="G775" s="3"/>
      <c r="H775" s="3"/>
      <c r="I775" s="3"/>
      <c r="J775" s="8"/>
      <c r="K775" s="3"/>
    </row>
    <row r="776" spans="2:11" x14ac:dyDescent="0.3">
      <c r="B776" s="73"/>
      <c r="C776" s="73"/>
      <c r="D776" s="73"/>
      <c r="E776" s="73"/>
      <c r="F776" s="73"/>
      <c r="G776" s="73"/>
      <c r="H776" s="73"/>
      <c r="I776" s="73"/>
      <c r="J776" s="74"/>
      <c r="K776" s="73"/>
    </row>
    <row r="777" spans="2:11" x14ac:dyDescent="0.3">
      <c r="B777" s="3"/>
      <c r="C777" s="3"/>
      <c r="D777" s="3"/>
      <c r="E777" s="3"/>
      <c r="F777" s="3"/>
      <c r="G777" s="3"/>
      <c r="H777" s="3"/>
      <c r="I777" s="3"/>
      <c r="J777" s="12"/>
      <c r="K777" s="3"/>
    </row>
    <row r="778" spans="2:11" x14ac:dyDescent="0.3">
      <c r="B778" s="73"/>
      <c r="C778" s="73"/>
      <c r="D778" s="73"/>
      <c r="E778" s="73"/>
      <c r="F778" s="73"/>
      <c r="G778" s="73"/>
      <c r="H778" s="73"/>
      <c r="I778" s="73"/>
      <c r="J778" s="74"/>
      <c r="K778" s="73"/>
    </row>
    <row r="779" spans="2:11" x14ac:dyDescent="0.3">
      <c r="B779" s="3"/>
      <c r="C779" s="3"/>
      <c r="D779" s="3"/>
      <c r="E779" s="3"/>
      <c r="F779" s="3"/>
      <c r="G779" s="3"/>
      <c r="H779" s="3"/>
      <c r="I779" s="3"/>
      <c r="J779" s="8"/>
      <c r="K779" s="3"/>
    </row>
    <row r="780" spans="2:11" x14ac:dyDescent="0.3">
      <c r="B780" s="73"/>
      <c r="C780" s="73"/>
      <c r="D780" s="73"/>
      <c r="E780" s="73"/>
      <c r="F780" s="73"/>
      <c r="G780" s="73"/>
      <c r="H780" s="73"/>
      <c r="I780" s="73"/>
      <c r="J780" s="74"/>
      <c r="K780" s="73"/>
    </row>
    <row r="781" spans="2:11" x14ac:dyDescent="0.3">
      <c r="B781" s="3"/>
      <c r="C781" s="3"/>
      <c r="D781" s="3"/>
      <c r="E781" s="3"/>
      <c r="F781" s="3"/>
      <c r="G781" s="3"/>
      <c r="H781" s="3"/>
      <c r="I781" s="3"/>
      <c r="J781" s="8"/>
      <c r="K781" s="3"/>
    </row>
    <row r="782" spans="2:11" x14ac:dyDescent="0.3">
      <c r="B782" s="73"/>
      <c r="C782" s="73"/>
      <c r="D782" s="73"/>
      <c r="E782" s="73"/>
      <c r="F782" s="73"/>
      <c r="G782" s="73"/>
      <c r="H782" s="73"/>
      <c r="I782" s="73"/>
      <c r="J782" s="74"/>
      <c r="K782" s="73"/>
    </row>
    <row r="783" spans="2:11" x14ac:dyDescent="0.3">
      <c r="B783" s="3"/>
      <c r="C783" s="3"/>
      <c r="D783" s="3"/>
      <c r="E783" s="3"/>
      <c r="F783" s="3"/>
      <c r="G783" s="3"/>
      <c r="H783" s="3"/>
      <c r="I783" s="3"/>
      <c r="J783" s="8"/>
      <c r="K783" s="3"/>
    </row>
    <row r="784" spans="2:11" x14ac:dyDescent="0.3">
      <c r="B784" s="73"/>
      <c r="C784" s="73"/>
      <c r="D784" s="73"/>
      <c r="E784" s="73"/>
      <c r="F784" s="73"/>
      <c r="G784" s="73"/>
      <c r="H784" s="73"/>
      <c r="I784" s="73"/>
      <c r="J784" s="74"/>
      <c r="K784" s="73"/>
    </row>
    <row r="785" spans="2:11" x14ac:dyDescent="0.3">
      <c r="B785" s="3"/>
      <c r="C785" s="3"/>
      <c r="D785" s="3"/>
      <c r="E785" s="3"/>
      <c r="F785" s="3"/>
      <c r="G785" s="3"/>
      <c r="H785" s="3"/>
      <c r="I785" s="3"/>
      <c r="J785" s="8"/>
      <c r="K785" s="3"/>
    </row>
    <row r="786" spans="2:11" x14ac:dyDescent="0.3">
      <c r="B786" s="73"/>
      <c r="C786" s="73"/>
      <c r="D786" s="73"/>
      <c r="E786" s="73"/>
      <c r="F786" s="73"/>
      <c r="G786" s="73"/>
      <c r="H786" s="73"/>
      <c r="I786" s="73"/>
      <c r="J786" s="74"/>
      <c r="K786" s="73"/>
    </row>
    <row r="787" spans="2:11" x14ac:dyDescent="0.3">
      <c r="B787" s="3"/>
      <c r="C787" s="3"/>
      <c r="D787" s="3"/>
      <c r="E787" s="3"/>
      <c r="F787" s="3"/>
      <c r="G787" s="3"/>
      <c r="H787" s="3"/>
      <c r="I787" s="3"/>
      <c r="J787" s="8"/>
      <c r="K787" s="3"/>
    </row>
    <row r="788" spans="2:11" x14ac:dyDescent="0.3">
      <c r="B788" s="73"/>
      <c r="C788" s="73"/>
      <c r="D788" s="73"/>
      <c r="E788" s="73"/>
      <c r="F788" s="73"/>
      <c r="G788" s="73"/>
      <c r="H788" s="73"/>
      <c r="I788" s="73"/>
      <c r="J788" s="74"/>
      <c r="K788" s="73"/>
    </row>
    <row r="789" spans="2:11" x14ac:dyDescent="0.3">
      <c r="B789" s="3"/>
      <c r="C789" s="1"/>
      <c r="D789" s="3"/>
      <c r="E789" s="3"/>
      <c r="F789" s="3"/>
      <c r="G789" s="3"/>
      <c r="H789" s="3"/>
      <c r="I789" s="3"/>
      <c r="J789" s="8"/>
      <c r="K789" s="3"/>
    </row>
    <row r="790" spans="2:11" x14ac:dyDescent="0.3">
      <c r="B790" s="73"/>
      <c r="C790" s="73"/>
      <c r="D790" s="73"/>
      <c r="E790" s="73"/>
      <c r="F790" s="73"/>
      <c r="G790" s="73"/>
      <c r="H790" s="73"/>
      <c r="I790" s="73"/>
      <c r="J790" s="74"/>
      <c r="K790" s="73"/>
    </row>
    <row r="791" spans="2:11" x14ac:dyDescent="0.3">
      <c r="B791" s="3"/>
      <c r="C791" s="1"/>
      <c r="D791" s="1"/>
      <c r="E791" s="1"/>
      <c r="F791" s="1"/>
      <c r="G791" s="3"/>
      <c r="H791" s="1"/>
      <c r="I791" s="3"/>
      <c r="J791" s="9"/>
      <c r="K791" s="1"/>
    </row>
    <row r="792" spans="2:11" x14ac:dyDescent="0.3">
      <c r="B792" s="73"/>
      <c r="C792" s="73"/>
      <c r="D792" s="73"/>
      <c r="E792" s="73"/>
      <c r="F792" s="73"/>
      <c r="G792" s="73"/>
      <c r="H792" s="73"/>
      <c r="I792" s="73"/>
      <c r="J792" s="74"/>
      <c r="K792" s="73"/>
    </row>
    <row r="793" spans="2:11" x14ac:dyDescent="0.3">
      <c r="B793" s="3"/>
      <c r="C793" s="3"/>
      <c r="D793" s="3"/>
      <c r="E793" s="3"/>
      <c r="F793" s="3"/>
      <c r="G793" s="3"/>
      <c r="H793" s="3"/>
      <c r="I793" s="3"/>
      <c r="J793" s="8"/>
      <c r="K793" s="3"/>
    </row>
    <row r="794" spans="2:11" x14ac:dyDescent="0.3">
      <c r="B794" s="73"/>
      <c r="C794" s="73"/>
      <c r="D794" s="73"/>
      <c r="E794" s="73"/>
      <c r="F794" s="73"/>
      <c r="G794" s="73"/>
      <c r="H794" s="73"/>
      <c r="I794" s="73"/>
      <c r="J794" s="74"/>
      <c r="K794" s="73"/>
    </row>
    <row r="795" spans="2:11" x14ac:dyDescent="0.3">
      <c r="B795" s="3"/>
      <c r="C795" s="3"/>
      <c r="D795" s="3"/>
      <c r="E795" s="3"/>
      <c r="F795" s="3"/>
      <c r="G795" s="3"/>
      <c r="H795" s="3"/>
      <c r="I795" s="3"/>
      <c r="J795" s="8"/>
      <c r="K795" s="3"/>
    </row>
    <row r="796" spans="2:11" x14ac:dyDescent="0.3">
      <c r="B796" s="73"/>
      <c r="C796" s="73"/>
      <c r="D796" s="73"/>
      <c r="E796" s="73"/>
      <c r="F796" s="73"/>
      <c r="G796" s="73"/>
      <c r="H796" s="73"/>
      <c r="I796" s="73"/>
      <c r="J796" s="74"/>
      <c r="K796" s="73"/>
    </row>
    <row r="797" spans="2:11" x14ac:dyDescent="0.3">
      <c r="B797" s="3"/>
      <c r="C797" s="3"/>
      <c r="D797" s="3"/>
      <c r="E797" s="3"/>
      <c r="F797" s="3"/>
      <c r="G797" s="3"/>
      <c r="H797" s="3"/>
      <c r="I797" s="3"/>
      <c r="J797" s="8"/>
      <c r="K797" s="3"/>
    </row>
    <row r="798" spans="2:11" x14ac:dyDescent="0.3">
      <c r="B798" s="73"/>
      <c r="C798" s="73"/>
      <c r="D798" s="73"/>
      <c r="E798" s="73"/>
      <c r="F798" s="73"/>
      <c r="G798" s="73"/>
      <c r="H798" s="73"/>
      <c r="I798" s="73"/>
      <c r="J798" s="74"/>
      <c r="K798" s="73"/>
    </row>
    <row r="799" spans="2:11" x14ac:dyDescent="0.3">
      <c r="B799" s="3"/>
      <c r="C799" s="3"/>
      <c r="D799" s="3"/>
      <c r="E799" s="3"/>
      <c r="F799" s="3"/>
      <c r="G799" s="3"/>
      <c r="H799" s="3"/>
      <c r="I799" s="3"/>
      <c r="J799" s="8"/>
      <c r="K799" s="3"/>
    </row>
    <row r="800" spans="2:11" x14ac:dyDescent="0.3">
      <c r="B800" s="73"/>
      <c r="C800" s="73"/>
      <c r="D800" s="73"/>
      <c r="E800" s="73"/>
      <c r="F800" s="73"/>
      <c r="G800" s="73"/>
      <c r="H800" s="73"/>
      <c r="I800" s="73"/>
      <c r="J800" s="74"/>
      <c r="K800" s="73"/>
    </row>
    <row r="801" spans="2:11" x14ac:dyDescent="0.3">
      <c r="B801" s="3"/>
      <c r="C801" s="3"/>
      <c r="D801" s="3"/>
      <c r="E801" s="3"/>
      <c r="F801" s="3"/>
      <c r="G801" s="3"/>
      <c r="H801" s="3"/>
      <c r="I801" s="3"/>
      <c r="J801" s="8"/>
      <c r="K801" s="3"/>
    </row>
    <row r="802" spans="2:11" x14ac:dyDescent="0.3">
      <c r="B802" s="73"/>
      <c r="C802" s="73"/>
      <c r="D802" s="73"/>
      <c r="E802" s="73"/>
      <c r="F802" s="73"/>
      <c r="G802" s="73"/>
      <c r="H802" s="73"/>
      <c r="I802" s="73"/>
      <c r="J802" s="74"/>
      <c r="K802" s="73"/>
    </row>
    <row r="803" spans="2:11" x14ac:dyDescent="0.3">
      <c r="B803" s="3"/>
      <c r="C803" s="3"/>
      <c r="D803" s="3"/>
      <c r="E803" s="3"/>
      <c r="F803" s="3"/>
      <c r="G803" s="3"/>
      <c r="H803" s="3"/>
      <c r="I803" s="3"/>
      <c r="J803" s="8"/>
      <c r="K803" s="3"/>
    </row>
    <row r="804" spans="2:11" x14ac:dyDescent="0.3">
      <c r="B804" s="73"/>
      <c r="C804" s="73"/>
      <c r="D804" s="75"/>
      <c r="E804" s="75"/>
      <c r="F804" s="75"/>
      <c r="G804" s="73"/>
      <c r="H804" s="75"/>
      <c r="I804" s="73"/>
      <c r="J804" s="74"/>
      <c r="K804" s="75"/>
    </row>
    <row r="805" spans="2:11" x14ac:dyDescent="0.3">
      <c r="B805" s="3"/>
      <c r="C805" s="3"/>
      <c r="D805" s="3"/>
      <c r="E805" s="3"/>
      <c r="F805" s="3"/>
      <c r="G805" s="3"/>
      <c r="H805" s="3"/>
      <c r="I805" s="3"/>
      <c r="J805" s="8"/>
      <c r="K805" s="3"/>
    </row>
    <row r="806" spans="2:11" x14ac:dyDescent="0.3">
      <c r="B806" s="73"/>
      <c r="C806" s="73"/>
      <c r="D806" s="73"/>
      <c r="E806" s="73"/>
      <c r="F806" s="73"/>
      <c r="G806" s="73"/>
      <c r="H806" s="73"/>
      <c r="I806" s="73"/>
      <c r="J806" s="74"/>
      <c r="K806" s="73"/>
    </row>
    <row r="807" spans="2:11" x14ac:dyDescent="0.3">
      <c r="B807" s="3"/>
      <c r="C807" s="1"/>
      <c r="D807" s="1"/>
      <c r="E807" s="1"/>
      <c r="F807" s="1"/>
      <c r="G807" s="3"/>
      <c r="H807" s="1"/>
      <c r="I807" s="3"/>
      <c r="J807" s="9"/>
      <c r="K807" s="1"/>
    </row>
    <row r="808" spans="2:11" x14ac:dyDescent="0.3">
      <c r="B808" s="73"/>
      <c r="C808" s="73"/>
      <c r="D808" s="73"/>
      <c r="E808" s="73"/>
      <c r="F808" s="73"/>
      <c r="G808" s="73"/>
      <c r="H808" s="73"/>
      <c r="I808" s="73"/>
      <c r="J808" s="74"/>
      <c r="K808" s="73"/>
    </row>
    <row r="809" spans="2:11" x14ac:dyDescent="0.3">
      <c r="B809" s="3"/>
      <c r="C809" s="3"/>
      <c r="D809" s="3"/>
      <c r="E809" s="3"/>
      <c r="F809" s="3"/>
      <c r="G809" s="3"/>
      <c r="H809" s="3"/>
      <c r="I809" s="3"/>
      <c r="J809" s="8"/>
      <c r="K809" s="3"/>
    </row>
    <row r="810" spans="2:11" x14ac:dyDescent="0.3">
      <c r="B810" s="73"/>
      <c r="C810" s="73"/>
      <c r="D810" s="73"/>
      <c r="E810" s="73"/>
      <c r="F810" s="73"/>
      <c r="G810" s="73"/>
      <c r="H810" s="73"/>
      <c r="I810" s="73"/>
      <c r="J810" s="74"/>
      <c r="K810" s="73"/>
    </row>
    <row r="811" spans="2:11" x14ac:dyDescent="0.3">
      <c r="B811" s="3"/>
      <c r="C811" s="3"/>
      <c r="D811" s="3"/>
      <c r="E811" s="3"/>
      <c r="F811" s="3"/>
      <c r="G811" s="3"/>
      <c r="H811" s="3"/>
      <c r="I811" s="3"/>
      <c r="J811" s="8"/>
      <c r="K811" s="3"/>
    </row>
    <row r="812" spans="2:11" x14ac:dyDescent="0.3">
      <c r="B812" s="73"/>
      <c r="C812" s="73"/>
      <c r="D812" s="73"/>
      <c r="E812" s="73"/>
      <c r="F812" s="73"/>
      <c r="G812" s="73"/>
      <c r="H812" s="73"/>
      <c r="I812" s="73"/>
      <c r="J812" s="74"/>
      <c r="K812" s="73"/>
    </row>
    <row r="813" spans="2:11" x14ac:dyDescent="0.3">
      <c r="B813" s="3"/>
      <c r="C813" s="3"/>
      <c r="D813" s="3"/>
      <c r="E813" s="3"/>
      <c r="F813" s="3"/>
      <c r="G813" s="3"/>
      <c r="H813" s="3"/>
      <c r="I813" s="3"/>
      <c r="J813" s="8"/>
      <c r="K813" s="3"/>
    </row>
    <row r="814" spans="2:11" x14ac:dyDescent="0.3">
      <c r="B814" s="73"/>
      <c r="C814" s="73"/>
      <c r="D814" s="73"/>
      <c r="E814" s="73"/>
      <c r="F814" s="73"/>
      <c r="G814" s="73"/>
      <c r="H814" s="73"/>
      <c r="I814" s="73"/>
      <c r="J814" s="74"/>
      <c r="K814" s="73"/>
    </row>
    <row r="815" spans="2:11" x14ac:dyDescent="0.3">
      <c r="B815" s="3"/>
      <c r="C815" s="3"/>
      <c r="D815" s="3"/>
      <c r="E815" s="3"/>
      <c r="F815" s="3"/>
      <c r="G815" s="3"/>
      <c r="H815" s="3"/>
      <c r="I815" s="3"/>
      <c r="J815" s="8"/>
      <c r="K815" s="3"/>
    </row>
    <row r="816" spans="2:11" x14ac:dyDescent="0.3">
      <c r="B816" s="73"/>
      <c r="C816" s="73"/>
      <c r="D816" s="73"/>
      <c r="E816" s="73"/>
      <c r="F816" s="73"/>
      <c r="G816" s="73"/>
      <c r="H816" s="73"/>
      <c r="I816" s="73"/>
      <c r="J816" s="74"/>
      <c r="K816" s="73"/>
    </row>
    <row r="817" spans="2:11" x14ac:dyDescent="0.3">
      <c r="B817" s="3"/>
      <c r="C817" s="3"/>
      <c r="D817" s="3"/>
      <c r="E817" s="3"/>
      <c r="F817" s="3"/>
      <c r="G817" s="3"/>
      <c r="H817" s="3"/>
      <c r="I817" s="3"/>
      <c r="J817" s="8"/>
      <c r="K817" s="3"/>
    </row>
    <row r="818" spans="2:11" x14ac:dyDescent="0.3">
      <c r="B818" s="73"/>
      <c r="C818" s="73"/>
      <c r="D818" s="73"/>
      <c r="E818" s="73"/>
      <c r="F818" s="73"/>
      <c r="G818" s="73"/>
      <c r="H818" s="73"/>
      <c r="I818" s="73"/>
      <c r="J818" s="74"/>
      <c r="K818" s="73"/>
    </row>
    <row r="819" spans="2:11" x14ac:dyDescent="0.3">
      <c r="B819" s="3"/>
      <c r="C819" s="4"/>
      <c r="D819" s="3"/>
      <c r="E819" s="3"/>
      <c r="F819" s="3"/>
      <c r="G819" s="3"/>
      <c r="H819" s="3"/>
      <c r="I819" s="3"/>
      <c r="J819" s="8"/>
      <c r="K819" s="3"/>
    </row>
    <row r="820" spans="2:11" x14ac:dyDescent="0.3">
      <c r="B820" s="73"/>
      <c r="C820" s="73"/>
      <c r="D820" s="73"/>
      <c r="E820" s="73"/>
      <c r="F820" s="73"/>
      <c r="G820" s="73"/>
      <c r="H820" s="73"/>
      <c r="I820" s="73"/>
      <c r="J820" s="74"/>
      <c r="K820" s="73"/>
    </row>
    <row r="821" spans="2:11" x14ac:dyDescent="0.3">
      <c r="B821" s="3"/>
      <c r="C821" s="3"/>
      <c r="D821" s="3"/>
      <c r="E821" s="3"/>
      <c r="F821" s="3"/>
      <c r="G821" s="3"/>
      <c r="H821" s="3"/>
      <c r="I821" s="3"/>
      <c r="J821" s="8"/>
      <c r="K821" s="3"/>
    </row>
    <row r="822" spans="2:11" x14ac:dyDescent="0.3">
      <c r="B822" s="73"/>
      <c r="C822" s="73"/>
      <c r="D822" s="73"/>
      <c r="E822" s="73"/>
      <c r="F822" s="73"/>
      <c r="G822" s="73"/>
      <c r="H822" s="73"/>
      <c r="I822" s="73"/>
      <c r="J822" s="74"/>
      <c r="K822" s="73"/>
    </row>
    <row r="823" spans="2:11" x14ac:dyDescent="0.3">
      <c r="B823" s="3"/>
      <c r="C823" s="3"/>
      <c r="D823" s="3"/>
      <c r="E823" s="3"/>
      <c r="F823" s="3"/>
      <c r="G823" s="3"/>
      <c r="H823" s="3"/>
      <c r="I823" s="3"/>
      <c r="J823" s="8"/>
      <c r="K823" s="3"/>
    </row>
    <row r="824" spans="2:11" x14ac:dyDescent="0.3">
      <c r="B824" s="73"/>
      <c r="C824" s="73"/>
      <c r="D824" s="73"/>
      <c r="E824" s="73"/>
      <c r="F824" s="73"/>
      <c r="G824" s="73"/>
      <c r="H824" s="73"/>
      <c r="I824" s="73"/>
      <c r="J824" s="74"/>
      <c r="K824" s="73"/>
    </row>
    <row r="825" spans="2:11" x14ac:dyDescent="0.3">
      <c r="B825" s="3"/>
      <c r="C825" s="3"/>
      <c r="D825" s="3"/>
      <c r="E825" s="3"/>
      <c r="F825" s="3"/>
      <c r="G825" s="3"/>
      <c r="H825" s="3"/>
      <c r="I825" s="3"/>
      <c r="J825" s="8"/>
      <c r="K825" s="3"/>
    </row>
    <row r="826" spans="2:11" x14ac:dyDescent="0.3">
      <c r="B826" s="73"/>
      <c r="C826" s="73"/>
      <c r="D826" s="73"/>
      <c r="E826" s="73"/>
      <c r="F826" s="73"/>
      <c r="G826" s="73"/>
      <c r="H826" s="73"/>
      <c r="I826" s="73"/>
      <c r="J826" s="74"/>
      <c r="K826" s="73"/>
    </row>
    <row r="827" spans="2:11" x14ac:dyDescent="0.3">
      <c r="B827" s="3"/>
      <c r="C827" s="3"/>
      <c r="D827" s="3"/>
      <c r="E827" s="3"/>
      <c r="F827" s="3"/>
      <c r="G827" s="3"/>
      <c r="H827" s="3"/>
      <c r="I827" s="3"/>
      <c r="J827" s="8"/>
      <c r="K827" s="3"/>
    </row>
    <row r="828" spans="2:11" x14ac:dyDescent="0.3">
      <c r="B828" s="73"/>
      <c r="C828" s="73"/>
      <c r="D828" s="73"/>
      <c r="E828" s="73"/>
      <c r="F828" s="73"/>
      <c r="G828" s="73"/>
      <c r="H828" s="73"/>
      <c r="I828" s="73"/>
      <c r="J828" s="74"/>
      <c r="K828" s="73"/>
    </row>
    <row r="829" spans="2:11" x14ac:dyDescent="0.3">
      <c r="B829" s="3"/>
      <c r="C829" s="3"/>
      <c r="D829" s="3"/>
      <c r="E829" s="3"/>
      <c r="F829" s="3"/>
      <c r="G829" s="3"/>
      <c r="H829" s="3"/>
      <c r="I829" s="3"/>
      <c r="J829" s="8"/>
      <c r="K829" s="3"/>
    </row>
    <row r="830" spans="2:11" x14ac:dyDescent="0.3">
      <c r="B830" s="73"/>
      <c r="C830" s="73"/>
      <c r="D830" s="73"/>
      <c r="E830" s="73"/>
      <c r="F830" s="73"/>
      <c r="G830" s="73"/>
      <c r="H830" s="73"/>
      <c r="I830" s="73"/>
      <c r="J830" s="74"/>
      <c r="K830" s="73"/>
    </row>
    <row r="831" spans="2:11" x14ac:dyDescent="0.3">
      <c r="B831" s="3"/>
      <c r="C831" s="3"/>
      <c r="D831" s="3"/>
      <c r="E831" s="3"/>
      <c r="F831" s="3"/>
      <c r="G831" s="3"/>
      <c r="H831" s="3"/>
      <c r="I831" s="3"/>
      <c r="J831" s="8"/>
      <c r="K831" s="3"/>
    </row>
    <row r="832" spans="2:11" x14ac:dyDescent="0.3">
      <c r="B832" s="73"/>
      <c r="C832" s="73"/>
      <c r="D832" s="73"/>
      <c r="E832" s="73"/>
      <c r="F832" s="73"/>
      <c r="G832" s="73"/>
      <c r="H832" s="73"/>
      <c r="I832" s="73"/>
      <c r="J832" s="74"/>
      <c r="K832" s="73"/>
    </row>
    <row r="833" spans="2:11" x14ac:dyDescent="0.3">
      <c r="B833" s="3"/>
      <c r="C833" s="3"/>
      <c r="D833" s="3"/>
      <c r="E833" s="3"/>
      <c r="F833" s="3"/>
      <c r="G833" s="3"/>
      <c r="H833" s="3"/>
      <c r="I833" s="3"/>
      <c r="J833" s="8"/>
      <c r="K833" s="3"/>
    </row>
    <row r="834" spans="2:11" x14ac:dyDescent="0.3">
      <c r="B834" s="73"/>
      <c r="C834" s="73"/>
      <c r="D834" s="73"/>
      <c r="E834" s="73"/>
      <c r="F834" s="73"/>
      <c r="G834" s="73"/>
      <c r="H834" s="73"/>
      <c r="I834" s="73"/>
      <c r="J834" s="74"/>
      <c r="K834" s="73"/>
    </row>
    <row r="835" spans="2:11" x14ac:dyDescent="0.3">
      <c r="B835" s="3"/>
      <c r="C835" s="3"/>
      <c r="D835" s="3"/>
      <c r="E835" s="3"/>
      <c r="F835" s="3"/>
      <c r="G835" s="3"/>
      <c r="H835" s="3"/>
      <c r="I835" s="3"/>
      <c r="J835" s="8"/>
      <c r="K835" s="3"/>
    </row>
    <row r="836" spans="2:11" x14ac:dyDescent="0.3">
      <c r="B836" s="73"/>
      <c r="C836" s="73"/>
      <c r="D836" s="73"/>
      <c r="E836" s="73"/>
      <c r="F836" s="73"/>
      <c r="G836" s="73"/>
      <c r="H836" s="73"/>
      <c r="I836" s="73"/>
      <c r="J836" s="74"/>
      <c r="K836" s="73"/>
    </row>
    <row r="837" spans="2:11" x14ac:dyDescent="0.3">
      <c r="B837" s="3"/>
      <c r="C837" s="3"/>
      <c r="D837" s="3"/>
      <c r="E837" s="3"/>
      <c r="F837" s="3"/>
      <c r="G837" s="3"/>
      <c r="H837" s="3"/>
      <c r="I837" s="3"/>
      <c r="J837" s="8"/>
      <c r="K837" s="3"/>
    </row>
    <row r="838" spans="2:11" x14ac:dyDescent="0.3">
      <c r="B838" s="73"/>
      <c r="C838" s="73"/>
      <c r="D838" s="73"/>
      <c r="E838" s="73"/>
      <c r="F838" s="73"/>
      <c r="G838" s="73"/>
      <c r="H838" s="73"/>
      <c r="I838" s="73"/>
      <c r="J838" s="74"/>
      <c r="K838" s="73"/>
    </row>
    <row r="839" spans="2:11" x14ac:dyDescent="0.3">
      <c r="B839" s="3"/>
      <c r="C839" s="3"/>
      <c r="D839" s="3"/>
      <c r="E839" s="3"/>
      <c r="F839" s="3"/>
      <c r="G839" s="3"/>
      <c r="H839" s="3"/>
      <c r="I839" s="3"/>
      <c r="J839" s="8"/>
      <c r="K839" s="3"/>
    </row>
    <row r="840" spans="2:11" x14ac:dyDescent="0.3">
      <c r="B840" s="73"/>
      <c r="C840" s="73"/>
      <c r="D840" s="73"/>
      <c r="E840" s="73"/>
      <c r="F840" s="73"/>
      <c r="G840" s="73"/>
      <c r="H840" s="73"/>
      <c r="I840" s="73"/>
      <c r="J840" s="74"/>
      <c r="K840" s="73"/>
    </row>
    <row r="841" spans="2:11" x14ac:dyDescent="0.3">
      <c r="B841" s="3"/>
      <c r="C841" s="3"/>
      <c r="D841" s="3"/>
      <c r="E841" s="3"/>
      <c r="F841" s="3"/>
      <c r="G841" s="3"/>
      <c r="H841" s="3"/>
      <c r="I841" s="3"/>
      <c r="J841" s="8"/>
      <c r="K841" s="3"/>
    </row>
    <row r="842" spans="2:11" x14ac:dyDescent="0.3">
      <c r="B842" s="73"/>
      <c r="C842" s="73"/>
      <c r="D842" s="73"/>
      <c r="E842" s="73"/>
      <c r="F842" s="73"/>
      <c r="G842" s="73"/>
      <c r="H842" s="73"/>
      <c r="I842" s="73"/>
      <c r="J842" s="74"/>
      <c r="K842" s="73"/>
    </row>
    <row r="843" spans="2:11" x14ac:dyDescent="0.3">
      <c r="B843" s="3"/>
      <c r="C843" s="3"/>
      <c r="D843" s="1"/>
      <c r="E843" s="1"/>
      <c r="F843" s="1"/>
      <c r="G843" s="3"/>
      <c r="H843" s="1"/>
      <c r="I843" s="3"/>
      <c r="J843" s="8"/>
      <c r="K843" s="1"/>
    </row>
    <row r="844" spans="2:11" x14ac:dyDescent="0.3">
      <c r="B844" s="73"/>
      <c r="C844" s="73"/>
      <c r="D844" s="73"/>
      <c r="E844" s="73"/>
      <c r="F844" s="73"/>
      <c r="G844" s="73"/>
      <c r="H844" s="73"/>
      <c r="I844" s="73"/>
      <c r="J844" s="74"/>
      <c r="K844" s="73"/>
    </row>
    <row r="845" spans="2:11" x14ac:dyDescent="0.3">
      <c r="B845" s="3"/>
      <c r="C845" s="3"/>
      <c r="D845" s="3"/>
      <c r="E845" s="3"/>
      <c r="F845" s="3"/>
      <c r="G845" s="3"/>
      <c r="H845" s="3"/>
      <c r="I845" s="3"/>
      <c r="J845" s="14"/>
      <c r="K845" s="3"/>
    </row>
    <row r="846" spans="2:11" x14ac:dyDescent="0.3">
      <c r="B846" s="73"/>
      <c r="C846" s="73"/>
      <c r="D846" s="73"/>
      <c r="E846" s="73"/>
      <c r="F846" s="73"/>
      <c r="G846" s="73"/>
      <c r="H846" s="73"/>
      <c r="I846" s="73"/>
      <c r="J846" s="83"/>
      <c r="K846" s="73"/>
    </row>
    <row r="847" spans="2:11" x14ac:dyDescent="0.3">
      <c r="B847" s="3"/>
      <c r="C847" s="3"/>
      <c r="D847" s="3"/>
      <c r="E847" s="3"/>
      <c r="F847" s="3"/>
      <c r="G847" s="3"/>
      <c r="H847" s="3"/>
      <c r="I847" s="3"/>
      <c r="J847" s="14"/>
      <c r="K847" s="3"/>
    </row>
    <row r="848" spans="2:11" x14ac:dyDescent="0.3">
      <c r="B848" s="73"/>
      <c r="C848" s="73"/>
      <c r="D848" s="73"/>
      <c r="E848" s="73"/>
      <c r="F848" s="73"/>
      <c r="G848" s="73"/>
      <c r="H848" s="73"/>
      <c r="I848" s="73"/>
      <c r="J848" s="83"/>
      <c r="K848" s="73"/>
    </row>
    <row r="849" spans="2:11" x14ac:dyDescent="0.3">
      <c r="B849" s="3"/>
      <c r="C849" s="3"/>
      <c r="D849" s="3"/>
      <c r="E849" s="3"/>
      <c r="F849" s="3"/>
      <c r="G849" s="3"/>
      <c r="H849" s="3"/>
      <c r="I849" s="3"/>
      <c r="J849" s="14"/>
      <c r="K849" s="3"/>
    </row>
    <row r="850" spans="2:11" x14ac:dyDescent="0.3">
      <c r="B850" s="73"/>
      <c r="C850" s="73"/>
      <c r="D850" s="73"/>
      <c r="E850" s="73"/>
      <c r="F850" s="73"/>
      <c r="G850" s="73"/>
      <c r="H850" s="73"/>
      <c r="I850" s="73"/>
      <c r="J850" s="83"/>
      <c r="K850" s="73"/>
    </row>
    <row r="851" spans="2:11" x14ac:dyDescent="0.3">
      <c r="B851" s="3"/>
      <c r="C851" s="3"/>
      <c r="D851" s="3"/>
      <c r="E851" s="3"/>
      <c r="F851" s="3"/>
      <c r="G851" s="3"/>
      <c r="H851" s="3"/>
      <c r="I851" s="3"/>
      <c r="J851" s="14"/>
      <c r="K851" s="3"/>
    </row>
    <row r="852" spans="2:11" x14ac:dyDescent="0.3">
      <c r="B852" s="73"/>
      <c r="C852" s="73"/>
      <c r="D852" s="73"/>
      <c r="E852" s="73"/>
      <c r="F852" s="73"/>
      <c r="G852" s="73"/>
      <c r="H852" s="73"/>
      <c r="I852" s="73"/>
      <c r="J852" s="83"/>
      <c r="K852" s="73"/>
    </row>
    <row r="853" spans="2:11" x14ac:dyDescent="0.3">
      <c r="B853" s="3"/>
      <c r="C853" s="3"/>
      <c r="D853" s="3"/>
      <c r="E853" s="3"/>
      <c r="F853" s="3"/>
      <c r="G853" s="3"/>
      <c r="H853" s="3"/>
      <c r="I853" s="3"/>
      <c r="J853" s="14"/>
      <c r="K853" s="3"/>
    </row>
    <row r="854" spans="2:11" x14ac:dyDescent="0.3">
      <c r="B854" s="73"/>
      <c r="C854" s="73"/>
      <c r="D854" s="73"/>
      <c r="E854" s="73"/>
      <c r="F854" s="73"/>
      <c r="G854" s="73"/>
      <c r="H854" s="73"/>
      <c r="I854" s="73"/>
      <c r="J854" s="83"/>
      <c r="K854" s="73"/>
    </row>
    <row r="855" spans="2:11" x14ac:dyDescent="0.3">
      <c r="B855" s="3"/>
      <c r="C855" s="3"/>
      <c r="D855" s="3"/>
      <c r="E855" s="3"/>
      <c r="F855" s="3"/>
      <c r="G855" s="3"/>
      <c r="H855" s="3"/>
      <c r="I855" s="3"/>
      <c r="J855" s="14"/>
      <c r="K855" s="3"/>
    </row>
    <row r="856" spans="2:11" x14ac:dyDescent="0.3">
      <c r="B856" s="73"/>
      <c r="C856" s="73"/>
      <c r="D856" s="73"/>
      <c r="E856" s="73"/>
      <c r="F856" s="73"/>
      <c r="G856" s="73"/>
      <c r="H856" s="73"/>
      <c r="I856" s="73"/>
      <c r="J856" s="83"/>
      <c r="K856" s="73"/>
    </row>
    <row r="857" spans="2:11" x14ac:dyDescent="0.3">
      <c r="B857" s="3"/>
      <c r="C857" s="3"/>
      <c r="D857" s="3"/>
      <c r="E857" s="3"/>
      <c r="F857" s="3"/>
      <c r="G857" s="3"/>
      <c r="H857" s="3"/>
      <c r="I857" s="3"/>
      <c r="J857" s="14"/>
      <c r="K857" s="3"/>
    </row>
    <row r="858" spans="2:11" x14ac:dyDescent="0.3">
      <c r="B858" s="73"/>
      <c r="C858" s="73"/>
      <c r="D858" s="73"/>
      <c r="E858" s="73"/>
      <c r="F858" s="73"/>
      <c r="G858" s="73"/>
      <c r="H858" s="73"/>
      <c r="I858" s="73"/>
      <c r="J858" s="83"/>
      <c r="K858" s="73"/>
    </row>
    <row r="859" spans="2:11" x14ac:dyDescent="0.3">
      <c r="B859" s="3"/>
      <c r="C859" s="3"/>
      <c r="D859" s="3"/>
      <c r="E859" s="3"/>
      <c r="F859" s="3"/>
      <c r="G859" s="3"/>
      <c r="H859" s="3"/>
      <c r="I859" s="3"/>
      <c r="J859" s="14"/>
      <c r="K859" s="3"/>
    </row>
    <row r="860" spans="2:11" x14ac:dyDescent="0.3">
      <c r="B860" s="73"/>
      <c r="C860" s="73"/>
      <c r="D860" s="73"/>
      <c r="E860" s="73"/>
      <c r="F860" s="73"/>
      <c r="G860" s="73"/>
      <c r="H860" s="73"/>
      <c r="I860" s="73"/>
      <c r="J860" s="83"/>
      <c r="K860" s="73"/>
    </row>
    <row r="861" spans="2:11" x14ac:dyDescent="0.3">
      <c r="B861" s="3"/>
      <c r="C861" s="3"/>
      <c r="D861" s="7"/>
      <c r="E861" s="3"/>
      <c r="F861" s="3"/>
      <c r="G861" s="3"/>
      <c r="H861" s="3"/>
      <c r="I861" s="3"/>
      <c r="J861" s="14"/>
      <c r="K861" s="3"/>
    </row>
    <row r="862" spans="2:11" x14ac:dyDescent="0.3">
      <c r="B862" s="73"/>
      <c r="C862" s="73"/>
      <c r="D862" s="7"/>
      <c r="E862" s="73"/>
      <c r="F862" s="73"/>
      <c r="G862" s="73"/>
      <c r="H862" s="73"/>
      <c r="I862" s="73"/>
      <c r="J862" s="83"/>
      <c r="K862" s="73"/>
    </row>
    <row r="863" spans="2:11" x14ac:dyDescent="0.3">
      <c r="B863" s="3"/>
      <c r="C863" s="3"/>
      <c r="D863" s="3"/>
      <c r="E863" s="3"/>
      <c r="F863" s="3"/>
      <c r="G863" s="3"/>
      <c r="H863" s="3"/>
      <c r="I863" s="3"/>
      <c r="J863" s="14"/>
      <c r="K863" s="3"/>
    </row>
    <row r="864" spans="2:11" x14ac:dyDescent="0.3">
      <c r="B864" s="73"/>
      <c r="C864" s="73"/>
      <c r="D864" s="73"/>
      <c r="E864" s="73"/>
      <c r="F864" s="73"/>
      <c r="G864" s="73"/>
      <c r="H864" s="73"/>
      <c r="I864" s="73"/>
      <c r="J864" s="74"/>
      <c r="K864" s="73"/>
    </row>
    <row r="865" spans="2:11" x14ac:dyDescent="0.3">
      <c r="B865" s="3"/>
      <c r="C865" s="1"/>
      <c r="D865" s="1"/>
      <c r="E865" s="1"/>
      <c r="F865" s="1"/>
      <c r="G865" s="3"/>
      <c r="H865" s="1"/>
      <c r="I865" s="3"/>
      <c r="J865" s="9"/>
      <c r="K865" s="1"/>
    </row>
    <row r="866" spans="2:11" x14ac:dyDescent="0.3">
      <c r="B866" s="73"/>
      <c r="C866" s="73"/>
      <c r="D866" s="73"/>
      <c r="E866" s="73"/>
      <c r="F866" s="73"/>
      <c r="G866" s="73"/>
      <c r="H866" s="73"/>
      <c r="I866" s="73"/>
      <c r="J866" s="74"/>
      <c r="K866" s="73"/>
    </row>
    <row r="867" spans="2:11" x14ac:dyDescent="0.3">
      <c r="B867" s="3"/>
      <c r="C867" s="3"/>
      <c r="D867" s="3"/>
      <c r="E867" s="3"/>
      <c r="F867" s="3"/>
      <c r="G867" s="3"/>
      <c r="H867" s="3"/>
      <c r="I867" s="3"/>
      <c r="J867" s="8"/>
      <c r="K867" s="3"/>
    </row>
    <row r="868" spans="2:11" x14ac:dyDescent="0.3">
      <c r="B868" s="73"/>
      <c r="C868" s="73"/>
      <c r="D868" s="73"/>
      <c r="E868" s="73"/>
      <c r="F868" s="73"/>
      <c r="G868" s="73"/>
      <c r="H868" s="73"/>
      <c r="I868" s="73"/>
      <c r="J868" s="84"/>
      <c r="K868" s="73"/>
    </row>
    <row r="869" spans="2:11" x14ac:dyDescent="0.3">
      <c r="B869" s="3"/>
      <c r="C869" s="3"/>
      <c r="D869" s="3"/>
      <c r="E869" s="3"/>
      <c r="F869" s="3"/>
      <c r="G869" s="3"/>
      <c r="H869" s="3"/>
      <c r="I869" s="3"/>
      <c r="J869" s="15"/>
      <c r="K869" s="3"/>
    </row>
    <row r="870" spans="2:11" x14ac:dyDescent="0.3">
      <c r="B870" s="73"/>
      <c r="C870" s="73"/>
      <c r="D870" s="73"/>
      <c r="E870" s="73"/>
      <c r="F870" s="73"/>
      <c r="G870" s="73"/>
      <c r="H870" s="73"/>
      <c r="I870" s="73"/>
      <c r="J870" s="84"/>
      <c r="K870" s="73"/>
    </row>
    <row r="871" spans="2:11" x14ac:dyDescent="0.3">
      <c r="B871" s="3"/>
      <c r="C871" s="3"/>
      <c r="D871" s="3"/>
      <c r="E871" s="3"/>
      <c r="F871" s="3"/>
      <c r="G871" s="3"/>
      <c r="H871" s="3"/>
      <c r="I871" s="3"/>
      <c r="J871" s="8"/>
      <c r="K871" s="3"/>
    </row>
    <row r="872" spans="2:11" x14ac:dyDescent="0.3">
      <c r="B872" s="73"/>
      <c r="C872" s="73"/>
      <c r="D872" s="73"/>
      <c r="E872" s="73"/>
      <c r="F872" s="73"/>
      <c r="G872" s="73"/>
      <c r="H872" s="73"/>
      <c r="I872" s="73"/>
      <c r="J872" s="74"/>
      <c r="K872" s="73"/>
    </row>
    <row r="873" spans="2:11" x14ac:dyDescent="0.3">
      <c r="B873" s="3"/>
      <c r="C873" s="3"/>
      <c r="D873" s="3"/>
      <c r="E873" s="3"/>
      <c r="F873" s="3"/>
      <c r="G873" s="3"/>
      <c r="H873" s="3"/>
      <c r="I873" s="3"/>
      <c r="J873" s="8"/>
      <c r="K873" s="3"/>
    </row>
    <row r="874" spans="2:11" x14ac:dyDescent="0.3">
      <c r="B874" s="73"/>
      <c r="C874" s="73"/>
      <c r="D874" s="73"/>
      <c r="E874" s="73"/>
      <c r="F874" s="73"/>
      <c r="G874" s="73"/>
      <c r="H874" s="73"/>
      <c r="I874" s="73"/>
      <c r="J874" s="74"/>
      <c r="K874" s="73"/>
    </row>
    <row r="875" spans="2:11" x14ac:dyDescent="0.3">
      <c r="B875" s="3"/>
      <c r="C875" s="3"/>
      <c r="D875" s="3"/>
      <c r="E875" s="3"/>
      <c r="F875" s="3"/>
      <c r="G875" s="3"/>
      <c r="H875" s="3"/>
      <c r="I875" s="3"/>
      <c r="J875" s="8"/>
      <c r="K875" s="3"/>
    </row>
    <row r="876" spans="2:11" x14ac:dyDescent="0.3">
      <c r="B876" s="73"/>
      <c r="C876" s="73"/>
      <c r="D876" s="73"/>
      <c r="E876" s="73"/>
      <c r="F876" s="73"/>
      <c r="G876" s="73"/>
      <c r="H876" s="73"/>
      <c r="I876" s="73"/>
      <c r="J876" s="80"/>
      <c r="K876" s="73"/>
    </row>
    <row r="877" spans="2:11" x14ac:dyDescent="0.3">
      <c r="B877" s="3"/>
      <c r="C877" s="3"/>
      <c r="D877" s="3"/>
      <c r="E877" s="3"/>
      <c r="F877" s="3"/>
      <c r="G877" s="3"/>
      <c r="H877" s="3"/>
      <c r="I877" s="3"/>
      <c r="J877" s="8"/>
      <c r="K877" s="3"/>
    </row>
    <row r="878" spans="2:11" x14ac:dyDescent="0.3">
      <c r="B878" s="73"/>
      <c r="C878" s="73"/>
      <c r="D878" s="73"/>
      <c r="E878" s="73"/>
      <c r="F878" s="73"/>
      <c r="G878" s="73"/>
      <c r="H878" s="73"/>
      <c r="I878" s="73"/>
      <c r="J878" s="74"/>
      <c r="K878" s="73"/>
    </row>
    <row r="879" spans="2:11" x14ac:dyDescent="0.3">
      <c r="B879" s="3"/>
      <c r="C879" s="3"/>
      <c r="D879" s="3"/>
      <c r="E879" s="3"/>
      <c r="F879" s="3"/>
      <c r="G879" s="3"/>
      <c r="H879" s="3"/>
      <c r="I879" s="3"/>
      <c r="J879" s="8"/>
      <c r="K879" s="3"/>
    </row>
    <row r="880" spans="2:11" x14ac:dyDescent="0.3">
      <c r="B880" s="73"/>
      <c r="C880" s="73"/>
      <c r="D880" s="73"/>
      <c r="E880" s="73"/>
      <c r="F880" s="73"/>
      <c r="G880" s="73"/>
      <c r="H880" s="73"/>
      <c r="I880" s="73"/>
      <c r="J880" s="74"/>
      <c r="K880" s="73"/>
    </row>
    <row r="881" spans="2:11" x14ac:dyDescent="0.3">
      <c r="B881" s="3"/>
      <c r="C881" s="3"/>
      <c r="D881" s="3"/>
      <c r="E881" s="3"/>
      <c r="F881" s="3"/>
      <c r="G881" s="3"/>
      <c r="H881" s="3"/>
      <c r="I881" s="3"/>
      <c r="J881" s="8"/>
      <c r="K881" s="3"/>
    </row>
    <row r="882" spans="2:11" x14ac:dyDescent="0.3">
      <c r="B882" s="73"/>
      <c r="C882" s="73"/>
      <c r="D882" s="73"/>
      <c r="E882" s="73"/>
      <c r="F882" s="73"/>
      <c r="G882" s="73"/>
      <c r="H882" s="73"/>
      <c r="I882" s="73"/>
      <c r="J882" s="74"/>
      <c r="K882" s="73"/>
    </row>
    <row r="883" spans="2:11" x14ac:dyDescent="0.3">
      <c r="B883" s="3"/>
      <c r="C883" s="3"/>
      <c r="D883" s="3"/>
      <c r="E883" s="3"/>
      <c r="F883" s="3"/>
      <c r="G883" s="3"/>
      <c r="H883" s="3"/>
      <c r="I883" s="3"/>
      <c r="J883" s="8"/>
      <c r="K883" s="3"/>
    </row>
    <row r="884" spans="2:11" x14ac:dyDescent="0.3">
      <c r="B884" s="73"/>
      <c r="C884" s="73"/>
      <c r="D884" s="73"/>
      <c r="E884" s="73"/>
      <c r="F884" s="73"/>
      <c r="G884" s="73"/>
      <c r="H884" s="73"/>
      <c r="I884" s="73"/>
      <c r="J884" s="74"/>
      <c r="K884" s="73"/>
    </row>
    <row r="885" spans="2:11" x14ac:dyDescent="0.3">
      <c r="B885" s="3"/>
      <c r="C885" s="3"/>
      <c r="D885" s="3"/>
      <c r="E885" s="3"/>
      <c r="F885" s="3"/>
      <c r="G885" s="3"/>
      <c r="H885" s="3"/>
      <c r="I885" s="3"/>
      <c r="J885" s="8"/>
      <c r="K885" s="3"/>
    </row>
    <row r="886" spans="2:11" x14ac:dyDescent="0.3">
      <c r="B886" s="73"/>
      <c r="C886" s="73"/>
      <c r="D886" s="73"/>
      <c r="E886" s="73"/>
      <c r="F886" s="73"/>
      <c r="G886" s="73"/>
      <c r="H886" s="73"/>
      <c r="I886" s="73"/>
      <c r="J886" s="74"/>
      <c r="K886" s="73"/>
    </row>
    <row r="887" spans="2:11" x14ac:dyDescent="0.3">
      <c r="B887" s="3"/>
      <c r="C887" s="3"/>
      <c r="D887" s="3"/>
      <c r="E887" s="3"/>
      <c r="F887" s="3"/>
      <c r="G887" s="3"/>
      <c r="H887" s="3"/>
      <c r="I887" s="3"/>
      <c r="J887" s="8"/>
      <c r="K887" s="3"/>
    </row>
    <row r="888" spans="2:11" x14ac:dyDescent="0.3">
      <c r="B888" s="73"/>
      <c r="C888" s="73"/>
      <c r="D888" s="73"/>
      <c r="E888" s="73"/>
      <c r="F888" s="73"/>
      <c r="G888" s="73"/>
      <c r="H888" s="73"/>
      <c r="I888" s="73"/>
      <c r="J888" s="74"/>
      <c r="K888" s="73"/>
    </row>
    <row r="889" spans="2:11" x14ac:dyDescent="0.3">
      <c r="B889" s="3"/>
      <c r="C889" s="3"/>
      <c r="D889" s="3"/>
      <c r="E889" s="3"/>
      <c r="F889" s="3"/>
      <c r="G889" s="3"/>
      <c r="H889" s="3"/>
      <c r="I889" s="3"/>
      <c r="J889" s="8"/>
      <c r="K889" s="3"/>
    </row>
    <row r="890" spans="2:11" x14ac:dyDescent="0.3">
      <c r="B890" s="73"/>
      <c r="C890" s="73"/>
      <c r="D890" s="73"/>
      <c r="E890" s="73"/>
      <c r="F890" s="73"/>
      <c r="G890" s="73"/>
      <c r="H890" s="73"/>
      <c r="I890" s="73"/>
      <c r="J890" s="74"/>
      <c r="K890" s="73"/>
    </row>
    <row r="891" spans="2:11" x14ac:dyDescent="0.3">
      <c r="B891" s="3"/>
      <c r="C891" s="1"/>
      <c r="D891" s="1"/>
      <c r="E891" s="1"/>
      <c r="F891" s="1"/>
      <c r="G891" s="3"/>
      <c r="H891" s="1"/>
      <c r="I891" s="3"/>
      <c r="J891" s="9"/>
      <c r="K891" s="1"/>
    </row>
    <row r="892" spans="2:11" x14ac:dyDescent="0.3">
      <c r="B892" s="73"/>
      <c r="C892" s="75"/>
      <c r="D892" s="75"/>
      <c r="E892" s="75"/>
      <c r="F892" s="75"/>
      <c r="G892" s="73"/>
      <c r="H892" s="75"/>
      <c r="I892" s="73"/>
      <c r="J892" s="76"/>
      <c r="K892" s="75"/>
    </row>
    <row r="893" spans="2:11" x14ac:dyDescent="0.3">
      <c r="B893" s="3"/>
      <c r="C893" s="1"/>
      <c r="D893" s="1"/>
      <c r="E893" s="1"/>
      <c r="F893" s="1"/>
      <c r="G893" s="3"/>
      <c r="H893" s="1"/>
      <c r="I893" s="3"/>
      <c r="J893" s="9"/>
      <c r="K893" s="1"/>
    </row>
    <row r="894" spans="2:11" x14ac:dyDescent="0.3">
      <c r="B894" s="73"/>
      <c r="C894" s="75"/>
      <c r="D894" s="75"/>
      <c r="E894" s="75"/>
      <c r="F894" s="75"/>
      <c r="G894" s="73"/>
      <c r="H894" s="75"/>
      <c r="I894" s="73"/>
      <c r="J894" s="76"/>
      <c r="K894" s="75"/>
    </row>
    <row r="895" spans="2:11" x14ac:dyDescent="0.3">
      <c r="B895" s="3"/>
      <c r="C895" s="1"/>
      <c r="D895" s="1"/>
      <c r="E895" s="1"/>
      <c r="F895" s="1"/>
      <c r="G895" s="3"/>
      <c r="H895" s="1"/>
      <c r="I895" s="3"/>
      <c r="J895" s="9"/>
      <c r="K895" s="1"/>
    </row>
    <row r="896" spans="2:11" x14ac:dyDescent="0.3">
      <c r="B896" s="73"/>
      <c r="C896" s="75"/>
      <c r="D896" s="75"/>
      <c r="E896" s="75"/>
      <c r="F896" s="75"/>
      <c r="G896" s="73"/>
      <c r="H896" s="75"/>
      <c r="I896" s="73"/>
      <c r="J896" s="76"/>
      <c r="K896" s="75"/>
    </row>
    <row r="897" spans="2:11" x14ac:dyDescent="0.3">
      <c r="B897" s="3"/>
      <c r="C897" s="1"/>
      <c r="D897" s="1"/>
      <c r="E897" s="1"/>
      <c r="F897" s="1"/>
      <c r="G897" s="3"/>
      <c r="H897" s="1"/>
      <c r="I897" s="3"/>
      <c r="J897" s="9"/>
      <c r="K897" s="1"/>
    </row>
    <row r="898" spans="2:11" x14ac:dyDescent="0.3">
      <c r="B898" s="73"/>
      <c r="C898" s="75"/>
      <c r="D898" s="75"/>
      <c r="E898" s="75"/>
      <c r="F898" s="75"/>
      <c r="G898" s="73"/>
      <c r="H898" s="75"/>
      <c r="I898" s="73"/>
      <c r="J898" s="76"/>
      <c r="K898" s="75"/>
    </row>
    <row r="899" spans="2:11" x14ac:dyDescent="0.3">
      <c r="B899" s="3"/>
      <c r="C899" s="1"/>
      <c r="D899" s="1"/>
      <c r="E899" s="1"/>
      <c r="F899" s="1"/>
      <c r="G899" s="3"/>
      <c r="H899" s="1"/>
      <c r="I899" s="3"/>
      <c r="J899" s="9"/>
      <c r="K899" s="1"/>
    </row>
    <row r="900" spans="2:11" x14ac:dyDescent="0.3">
      <c r="B900" s="73"/>
      <c r="C900" s="75"/>
      <c r="D900" s="75"/>
      <c r="E900" s="75"/>
      <c r="F900" s="75"/>
      <c r="G900" s="73"/>
      <c r="H900" s="75"/>
      <c r="I900" s="73"/>
      <c r="J900" s="76"/>
      <c r="K900" s="75"/>
    </row>
    <row r="901" spans="2:11" x14ac:dyDescent="0.3">
      <c r="B901" s="3"/>
      <c r="C901" s="1"/>
      <c r="D901" s="1"/>
      <c r="E901" s="1"/>
      <c r="F901" s="1"/>
      <c r="G901" s="3"/>
      <c r="H901" s="1"/>
      <c r="I901" s="3"/>
      <c r="J901" s="9"/>
      <c r="K901" s="1"/>
    </row>
    <row r="902" spans="2:11" x14ac:dyDescent="0.3">
      <c r="B902" s="73"/>
      <c r="C902" s="75"/>
      <c r="D902" s="75"/>
      <c r="E902" s="75"/>
      <c r="F902" s="75"/>
      <c r="G902" s="73"/>
      <c r="H902" s="75"/>
      <c r="I902" s="73"/>
      <c r="J902" s="76"/>
      <c r="K902" s="75"/>
    </row>
    <row r="903" spans="2:11" x14ac:dyDescent="0.3">
      <c r="B903" s="3"/>
      <c r="C903" s="1"/>
      <c r="D903" s="1"/>
      <c r="E903" s="1"/>
      <c r="F903" s="1"/>
      <c r="G903" s="3"/>
      <c r="H903" s="1"/>
      <c r="I903" s="3"/>
      <c r="J903" s="9"/>
      <c r="K903" s="1"/>
    </row>
    <row r="904" spans="2:11" x14ac:dyDescent="0.3">
      <c r="B904" s="73"/>
      <c r="C904" s="75"/>
      <c r="D904" s="75"/>
      <c r="E904" s="75"/>
      <c r="F904" s="75"/>
      <c r="G904" s="73"/>
      <c r="H904" s="75"/>
      <c r="I904" s="73"/>
      <c r="J904" s="76"/>
      <c r="K904" s="75"/>
    </row>
    <row r="905" spans="2:11" x14ac:dyDescent="0.3">
      <c r="B905" s="3"/>
      <c r="C905" s="1"/>
      <c r="D905" s="1"/>
      <c r="E905" s="1"/>
      <c r="F905" s="1"/>
      <c r="G905" s="3"/>
      <c r="H905" s="1"/>
      <c r="I905" s="3"/>
      <c r="J905" s="9"/>
      <c r="K905" s="1"/>
    </row>
    <row r="906" spans="2:11" x14ac:dyDescent="0.3">
      <c r="B906" s="73"/>
      <c r="C906" s="75"/>
      <c r="D906" s="75"/>
      <c r="E906" s="75"/>
      <c r="F906" s="75"/>
      <c r="G906" s="73"/>
      <c r="H906" s="75"/>
      <c r="I906" s="73"/>
      <c r="J906" s="76"/>
      <c r="K906" s="75"/>
    </row>
    <row r="907" spans="2:11" x14ac:dyDescent="0.3">
      <c r="B907" s="3"/>
      <c r="C907" s="3"/>
      <c r="D907" s="1"/>
      <c r="E907" s="1"/>
      <c r="F907" s="1"/>
      <c r="G907" s="3"/>
      <c r="H907" s="1"/>
      <c r="I907" s="3"/>
      <c r="J907" s="8"/>
      <c r="K907" s="1"/>
    </row>
    <row r="908" spans="2:11" x14ac:dyDescent="0.3">
      <c r="B908" s="73"/>
      <c r="C908" s="73"/>
      <c r="D908" s="73"/>
      <c r="E908" s="73"/>
      <c r="F908" s="73"/>
      <c r="G908" s="73"/>
      <c r="H908" s="73"/>
      <c r="I908" s="73"/>
      <c r="J908" s="74"/>
      <c r="K908" s="73"/>
    </row>
    <row r="909" spans="2:11" x14ac:dyDescent="0.3">
      <c r="B909" s="3"/>
      <c r="C909" s="3"/>
      <c r="D909" s="3"/>
      <c r="E909" s="3"/>
      <c r="F909" s="3"/>
      <c r="G909" s="3"/>
      <c r="H909" s="3"/>
      <c r="I909" s="3"/>
      <c r="J909" s="8"/>
      <c r="K909" s="3"/>
    </row>
    <row r="910" spans="2:11" x14ac:dyDescent="0.3">
      <c r="B910" s="73"/>
      <c r="C910" s="73"/>
      <c r="D910" s="73"/>
      <c r="E910" s="73"/>
      <c r="F910" s="73"/>
      <c r="G910" s="73"/>
      <c r="H910" s="73"/>
      <c r="I910" s="73"/>
      <c r="J910" s="84"/>
      <c r="K910" s="73"/>
    </row>
    <row r="911" spans="2:11" x14ac:dyDescent="0.3">
      <c r="B911" s="3"/>
      <c r="C911" s="3"/>
      <c r="D911" s="3"/>
      <c r="E911" s="3"/>
      <c r="F911" s="3"/>
      <c r="G911" s="3"/>
      <c r="H911" s="3"/>
      <c r="I911" s="3"/>
      <c r="J911" s="15"/>
      <c r="K911" s="3"/>
    </row>
    <row r="912" spans="2:11" x14ac:dyDescent="0.3">
      <c r="B912" s="73"/>
      <c r="C912" s="73"/>
      <c r="D912" s="73"/>
      <c r="E912" s="73"/>
      <c r="F912" s="73"/>
      <c r="G912" s="73"/>
      <c r="H912" s="73"/>
      <c r="I912" s="73"/>
      <c r="J912" s="84"/>
      <c r="K912" s="73"/>
    </row>
    <row r="913" spans="2:11" x14ac:dyDescent="0.3">
      <c r="B913" s="3"/>
      <c r="C913" s="3"/>
      <c r="D913" s="3"/>
      <c r="E913" s="3"/>
      <c r="F913" s="3"/>
      <c r="G913" s="3"/>
      <c r="H913" s="3"/>
      <c r="I913" s="3"/>
      <c r="J913" s="8"/>
      <c r="K913" s="3"/>
    </row>
    <row r="914" spans="2:11" x14ac:dyDescent="0.3">
      <c r="B914" s="73"/>
      <c r="C914" s="73"/>
      <c r="D914" s="73"/>
      <c r="E914" s="73"/>
      <c r="F914" s="73"/>
      <c r="G914" s="73"/>
      <c r="H914" s="73"/>
      <c r="I914" s="73"/>
      <c r="J914" s="74"/>
      <c r="K914" s="73"/>
    </row>
    <row r="915" spans="2:11" x14ac:dyDescent="0.3">
      <c r="B915" s="3"/>
      <c r="C915" s="3"/>
      <c r="D915" s="3"/>
      <c r="E915" s="3"/>
      <c r="F915" s="3"/>
      <c r="G915" s="3"/>
      <c r="H915" s="3"/>
      <c r="I915" s="3"/>
      <c r="J915" s="8"/>
      <c r="K915" s="3"/>
    </row>
    <row r="916" spans="2:11" x14ac:dyDescent="0.3">
      <c r="B916" s="73"/>
      <c r="C916" s="73"/>
      <c r="D916" s="73"/>
      <c r="E916" s="73"/>
      <c r="F916" s="73"/>
      <c r="G916" s="73"/>
      <c r="H916" s="73"/>
      <c r="I916" s="73"/>
      <c r="J916" s="74"/>
      <c r="K916" s="73"/>
    </row>
    <row r="917" spans="2:11" x14ac:dyDescent="0.3">
      <c r="B917" s="3"/>
      <c r="C917" s="3"/>
      <c r="D917" s="3"/>
      <c r="E917" s="3"/>
      <c r="F917" s="3"/>
      <c r="G917" s="3"/>
      <c r="H917" s="3"/>
      <c r="I917" s="3"/>
      <c r="J917" s="8"/>
      <c r="K917" s="3"/>
    </row>
    <row r="918" spans="2:11" x14ac:dyDescent="0.3">
      <c r="B918" s="73"/>
      <c r="C918" s="73"/>
      <c r="D918" s="73"/>
      <c r="E918" s="73"/>
      <c r="F918" s="73"/>
      <c r="G918" s="73"/>
      <c r="H918" s="73"/>
      <c r="I918" s="73"/>
      <c r="J918" s="80"/>
      <c r="K918" s="73"/>
    </row>
    <row r="919" spans="2:11" x14ac:dyDescent="0.3">
      <c r="B919" s="3"/>
      <c r="C919" s="3"/>
      <c r="D919" s="3"/>
      <c r="E919" s="3"/>
      <c r="F919" s="3"/>
      <c r="G919" s="3"/>
      <c r="H919" s="3"/>
      <c r="I919" s="3"/>
      <c r="J919" s="8"/>
      <c r="K919" s="3"/>
    </row>
    <row r="920" spans="2:11" x14ac:dyDescent="0.3">
      <c r="B920" s="73"/>
      <c r="C920" s="73"/>
      <c r="D920" s="73"/>
      <c r="E920" s="73"/>
      <c r="F920" s="73"/>
      <c r="G920" s="73"/>
      <c r="H920" s="73"/>
      <c r="I920" s="73"/>
      <c r="J920" s="74"/>
      <c r="K920" s="73"/>
    </row>
    <row r="921" spans="2:11" x14ac:dyDescent="0.3">
      <c r="B921" s="3"/>
      <c r="C921" s="3"/>
      <c r="D921" s="3"/>
      <c r="E921" s="3"/>
      <c r="F921" s="3"/>
      <c r="G921" s="3"/>
      <c r="H921" s="3"/>
      <c r="I921" s="3"/>
      <c r="J921" s="8"/>
      <c r="K921" s="3"/>
    </row>
    <row r="922" spans="2:11" x14ac:dyDescent="0.3">
      <c r="B922" s="73"/>
      <c r="C922" s="73"/>
      <c r="D922" s="73"/>
      <c r="E922" s="73"/>
      <c r="F922" s="73"/>
      <c r="G922" s="73"/>
      <c r="H922" s="73"/>
      <c r="I922" s="73"/>
      <c r="J922" s="74"/>
      <c r="K922" s="73"/>
    </row>
    <row r="923" spans="2:11" x14ac:dyDescent="0.3">
      <c r="B923" s="3"/>
      <c r="C923" s="3"/>
      <c r="D923" s="3"/>
      <c r="E923" s="3"/>
      <c r="F923" s="3"/>
      <c r="G923" s="3"/>
      <c r="H923" s="3"/>
      <c r="I923" s="3"/>
      <c r="J923" s="8"/>
      <c r="K923" s="3"/>
    </row>
    <row r="924" spans="2:11" x14ac:dyDescent="0.3">
      <c r="B924" s="73"/>
      <c r="C924" s="73"/>
      <c r="D924" s="73"/>
      <c r="E924" s="73"/>
      <c r="F924" s="73"/>
      <c r="G924" s="73"/>
      <c r="H924" s="73"/>
      <c r="I924" s="73"/>
      <c r="J924" s="74"/>
      <c r="K924" s="73"/>
    </row>
    <row r="925" spans="2:11" x14ac:dyDescent="0.3">
      <c r="B925" s="3"/>
      <c r="C925" s="3"/>
      <c r="D925" s="3"/>
      <c r="E925" s="3"/>
      <c r="F925" s="3"/>
      <c r="G925" s="3"/>
      <c r="H925" s="3"/>
      <c r="I925" s="3"/>
      <c r="J925" s="8"/>
      <c r="K925" s="3"/>
    </row>
    <row r="926" spans="2:11" x14ac:dyDescent="0.3">
      <c r="B926" s="73"/>
      <c r="C926" s="73"/>
      <c r="D926" s="73"/>
      <c r="E926" s="73"/>
      <c r="F926" s="73"/>
      <c r="G926" s="73"/>
      <c r="H926" s="73"/>
      <c r="I926" s="73"/>
      <c r="J926" s="74"/>
      <c r="K926" s="73"/>
    </row>
    <row r="927" spans="2:11" x14ac:dyDescent="0.3">
      <c r="B927" s="3"/>
      <c r="C927" s="3"/>
      <c r="D927" s="3"/>
      <c r="E927" s="3"/>
      <c r="F927" s="3"/>
      <c r="G927" s="3"/>
      <c r="H927" s="3"/>
      <c r="I927" s="3"/>
      <c r="J927" s="8"/>
      <c r="K927" s="3"/>
    </row>
    <row r="928" spans="2:11" x14ac:dyDescent="0.3">
      <c r="B928" s="73"/>
      <c r="C928" s="73"/>
      <c r="D928" s="75"/>
      <c r="E928" s="75"/>
      <c r="F928" s="75"/>
      <c r="G928" s="73"/>
      <c r="H928" s="75"/>
      <c r="I928" s="73"/>
      <c r="J928" s="74"/>
      <c r="K928" s="75"/>
    </row>
    <row r="929" spans="2:11" x14ac:dyDescent="0.3">
      <c r="B929" s="3"/>
      <c r="C929" s="3"/>
      <c r="D929" s="1"/>
      <c r="E929" s="1"/>
      <c r="F929" s="1"/>
      <c r="G929" s="3"/>
      <c r="H929" s="1"/>
      <c r="I929" s="3"/>
      <c r="J929" s="8"/>
      <c r="K929" s="1"/>
    </row>
    <row r="930" spans="2:11" x14ac:dyDescent="0.3">
      <c r="B930" s="73"/>
      <c r="C930" s="73"/>
      <c r="D930" s="75"/>
      <c r="E930" s="75"/>
      <c r="F930" s="75"/>
      <c r="G930" s="73"/>
      <c r="H930" s="75"/>
      <c r="I930" s="73"/>
      <c r="J930" s="74"/>
      <c r="K930" s="75"/>
    </row>
    <row r="931" spans="2:11" x14ac:dyDescent="0.3">
      <c r="B931" s="3"/>
      <c r="C931" s="3"/>
      <c r="D931" s="3"/>
      <c r="E931" s="3"/>
      <c r="F931" s="3"/>
      <c r="G931" s="3"/>
      <c r="H931" s="3"/>
      <c r="I931" s="3"/>
      <c r="J931" s="8"/>
      <c r="K931" s="3"/>
    </row>
    <row r="932" spans="2:11" x14ac:dyDescent="0.3">
      <c r="B932" s="73"/>
      <c r="C932" s="73"/>
      <c r="D932" s="73"/>
      <c r="E932" s="73"/>
      <c r="F932" s="73"/>
      <c r="G932" s="73"/>
      <c r="H932" s="73"/>
      <c r="I932" s="73"/>
      <c r="J932" s="74"/>
      <c r="K932" s="73"/>
    </row>
    <row r="933" spans="2:11" x14ac:dyDescent="0.3">
      <c r="B933" s="3"/>
      <c r="C933" s="3"/>
      <c r="D933" s="3"/>
      <c r="E933" s="3"/>
      <c r="F933" s="3"/>
      <c r="G933" s="3"/>
      <c r="H933" s="3"/>
      <c r="I933" s="3"/>
      <c r="J933" s="8"/>
      <c r="K933" s="3"/>
    </row>
    <row r="934" spans="2:11" x14ac:dyDescent="0.3">
      <c r="B934" s="73"/>
      <c r="C934" s="73"/>
      <c r="D934" s="73"/>
      <c r="E934" s="73"/>
      <c r="F934" s="73"/>
      <c r="G934" s="73"/>
      <c r="H934" s="73"/>
      <c r="I934" s="73"/>
      <c r="J934" s="74"/>
      <c r="K934" s="73"/>
    </row>
    <row r="935" spans="2:11" x14ac:dyDescent="0.3">
      <c r="B935" s="3"/>
      <c r="C935" s="3"/>
      <c r="D935" s="3"/>
      <c r="E935" s="3"/>
      <c r="F935" s="3"/>
      <c r="G935" s="3"/>
      <c r="H935" s="3"/>
      <c r="I935" s="3"/>
      <c r="J935" s="8"/>
      <c r="K935" s="3"/>
    </row>
    <row r="936" spans="2:11" x14ac:dyDescent="0.3">
      <c r="B936" s="73"/>
      <c r="C936" s="73"/>
      <c r="D936" s="73"/>
      <c r="E936" s="73"/>
      <c r="F936" s="73"/>
      <c r="G936" s="73"/>
      <c r="H936" s="73"/>
      <c r="I936" s="73"/>
      <c r="J936" s="74"/>
      <c r="K936" s="73"/>
    </row>
    <row r="937" spans="2:11" x14ac:dyDescent="0.3">
      <c r="B937" s="3"/>
      <c r="C937" s="3"/>
      <c r="D937" s="3"/>
      <c r="E937" s="3"/>
      <c r="F937" s="3"/>
      <c r="G937" s="3"/>
      <c r="H937" s="3"/>
      <c r="I937" s="3"/>
      <c r="J937" s="8"/>
      <c r="K937" s="3"/>
    </row>
    <row r="938" spans="2:11" x14ac:dyDescent="0.3">
      <c r="B938" s="73"/>
      <c r="C938" s="73"/>
      <c r="D938" s="73"/>
      <c r="E938" s="73"/>
      <c r="F938" s="73"/>
      <c r="G938" s="73"/>
      <c r="H938" s="73"/>
      <c r="I938" s="73"/>
      <c r="J938" s="74"/>
      <c r="K938" s="73"/>
    </row>
    <row r="939" spans="2:11" x14ac:dyDescent="0.3">
      <c r="B939" s="3"/>
      <c r="C939" s="3"/>
      <c r="D939" s="3"/>
      <c r="E939" s="3"/>
      <c r="F939" s="3"/>
      <c r="G939" s="3"/>
      <c r="H939" s="3"/>
      <c r="I939" s="3"/>
      <c r="J939" s="8"/>
      <c r="K939" s="3"/>
    </row>
    <row r="940" spans="2:11" x14ac:dyDescent="0.3">
      <c r="B940" s="73"/>
      <c r="C940" s="73"/>
      <c r="D940" s="73"/>
      <c r="E940" s="73"/>
      <c r="F940" s="73"/>
      <c r="G940" s="73"/>
      <c r="H940" s="73"/>
      <c r="I940" s="73"/>
      <c r="J940" s="74"/>
      <c r="K940" s="73"/>
    </row>
    <row r="941" spans="2:11" x14ac:dyDescent="0.3">
      <c r="B941" s="3"/>
      <c r="C941" s="3"/>
      <c r="D941" s="3"/>
      <c r="E941" s="3"/>
      <c r="F941" s="3"/>
      <c r="G941" s="3"/>
      <c r="H941" s="3"/>
      <c r="I941" s="3"/>
      <c r="J941" s="8"/>
      <c r="K941" s="3"/>
    </row>
    <row r="942" spans="2:11" x14ac:dyDescent="0.3">
      <c r="B942" s="73"/>
      <c r="C942" s="73"/>
      <c r="D942" s="73"/>
      <c r="E942" s="73"/>
      <c r="F942" s="73"/>
      <c r="G942" s="73"/>
      <c r="H942" s="73"/>
      <c r="I942" s="73"/>
      <c r="J942" s="74"/>
      <c r="K942" s="73"/>
    </row>
    <row r="943" spans="2:11" x14ac:dyDescent="0.3">
      <c r="B943" s="3"/>
      <c r="C943" s="3"/>
      <c r="D943" s="3"/>
      <c r="E943" s="3"/>
      <c r="F943" s="3"/>
      <c r="G943" s="3"/>
      <c r="H943" s="3"/>
      <c r="I943" s="3"/>
      <c r="J943" s="8"/>
      <c r="K943" s="3"/>
    </row>
    <row r="944" spans="2:11" x14ac:dyDescent="0.3">
      <c r="B944" s="73"/>
      <c r="C944" s="73"/>
      <c r="D944" s="73"/>
      <c r="E944" s="73"/>
      <c r="F944" s="73"/>
      <c r="G944" s="73"/>
      <c r="H944" s="73"/>
      <c r="I944" s="73"/>
      <c r="J944" s="74"/>
      <c r="K944" s="73"/>
    </row>
    <row r="945" spans="2:11" x14ac:dyDescent="0.3">
      <c r="B945" s="3"/>
      <c r="C945" s="3"/>
      <c r="D945" s="3"/>
      <c r="E945" s="3"/>
      <c r="F945" s="3"/>
      <c r="G945" s="3"/>
      <c r="H945" s="3"/>
      <c r="I945" s="3"/>
      <c r="J945" s="8"/>
      <c r="K945" s="3"/>
    </row>
    <row r="946" spans="2:11" x14ac:dyDescent="0.3">
      <c r="B946" s="73"/>
      <c r="C946" s="73"/>
      <c r="D946" s="73"/>
      <c r="E946" s="73"/>
      <c r="F946" s="73"/>
      <c r="G946" s="73"/>
      <c r="H946" s="73"/>
      <c r="I946" s="73"/>
      <c r="J946" s="74"/>
      <c r="K946" s="73"/>
    </row>
    <row r="947" spans="2:11" x14ac:dyDescent="0.3">
      <c r="B947" s="3"/>
      <c r="C947" s="3"/>
      <c r="D947" s="3"/>
      <c r="E947" s="3"/>
      <c r="F947" s="3"/>
      <c r="G947" s="3"/>
      <c r="H947" s="3"/>
      <c r="I947" s="3"/>
      <c r="J947" s="8"/>
      <c r="K947" s="3"/>
    </row>
    <row r="948" spans="2:11" x14ac:dyDescent="0.3">
      <c r="B948" s="73"/>
      <c r="C948" s="73"/>
      <c r="D948" s="73"/>
      <c r="E948" s="73"/>
      <c r="F948" s="73"/>
      <c r="G948" s="73"/>
      <c r="H948" s="73"/>
      <c r="I948" s="73"/>
      <c r="J948" s="74"/>
      <c r="K948" s="73"/>
    </row>
    <row r="949" spans="2:11" x14ac:dyDescent="0.3">
      <c r="B949" s="3"/>
      <c r="C949" s="3"/>
      <c r="D949" s="3"/>
      <c r="E949" s="3"/>
      <c r="F949" s="3"/>
      <c r="G949" s="3"/>
      <c r="H949" s="3"/>
      <c r="I949" s="3"/>
      <c r="J949" s="8"/>
      <c r="K949" s="3"/>
    </row>
    <row r="950" spans="2:11" x14ac:dyDescent="0.3">
      <c r="B950" s="73"/>
      <c r="C950" s="73"/>
      <c r="D950" s="73"/>
      <c r="E950" s="73"/>
      <c r="F950" s="73"/>
      <c r="G950" s="73"/>
      <c r="H950" s="73"/>
      <c r="I950" s="73"/>
      <c r="J950" s="74"/>
      <c r="K950" s="73"/>
    </row>
    <row r="951" spans="2:11" x14ac:dyDescent="0.3">
      <c r="B951" s="3"/>
      <c r="C951" s="7"/>
      <c r="D951" s="3"/>
      <c r="E951" s="3"/>
      <c r="F951" s="7"/>
      <c r="G951" s="3"/>
      <c r="H951" s="7"/>
      <c r="I951" s="3"/>
      <c r="J951" s="8"/>
      <c r="K951" s="7"/>
    </row>
    <row r="952" spans="2:11" x14ac:dyDescent="0.3">
      <c r="B952" s="73"/>
      <c r="C952" s="73"/>
      <c r="D952" s="73"/>
      <c r="E952" s="73"/>
      <c r="F952" s="73"/>
      <c r="G952" s="73"/>
      <c r="H952" s="73"/>
      <c r="I952" s="73"/>
      <c r="J952" s="74"/>
      <c r="K952" s="73"/>
    </row>
    <row r="953" spans="2:11" x14ac:dyDescent="0.3">
      <c r="B953" s="3"/>
      <c r="C953" s="7"/>
      <c r="D953" s="3"/>
      <c r="E953" s="3"/>
      <c r="F953" s="7"/>
      <c r="G953" s="3"/>
      <c r="H953" s="7"/>
      <c r="I953" s="3"/>
      <c r="J953" s="8"/>
      <c r="K953" s="7"/>
    </row>
    <row r="954" spans="2:11" x14ac:dyDescent="0.3">
      <c r="B954" s="73"/>
      <c r="C954" s="73"/>
      <c r="D954" s="73"/>
      <c r="E954" s="73"/>
      <c r="F954" s="73"/>
      <c r="G954" s="73"/>
      <c r="H954" s="73"/>
      <c r="I954" s="73"/>
      <c r="J954" s="74"/>
      <c r="K954" s="73"/>
    </row>
    <row r="955" spans="2:11" x14ac:dyDescent="0.3">
      <c r="B955" s="3"/>
      <c r="C955" s="3"/>
      <c r="D955" s="3"/>
      <c r="E955" s="3"/>
      <c r="F955" s="3"/>
      <c r="G955" s="3"/>
      <c r="H955" s="3"/>
      <c r="I955" s="3"/>
      <c r="J955" s="8"/>
      <c r="K955" s="3"/>
    </row>
    <row r="956" spans="2:11" x14ac:dyDescent="0.3">
      <c r="B956" s="73"/>
      <c r="C956" s="73"/>
      <c r="D956" s="73"/>
      <c r="E956" s="73"/>
      <c r="F956" s="73"/>
      <c r="G956" s="73"/>
      <c r="H956" s="73"/>
      <c r="I956" s="73"/>
      <c r="J956" s="74"/>
      <c r="K956" s="73"/>
    </row>
    <row r="957" spans="2:11" x14ac:dyDescent="0.3">
      <c r="B957" s="3"/>
      <c r="C957" s="3"/>
      <c r="D957" s="3"/>
      <c r="E957" s="3"/>
      <c r="F957" s="3"/>
      <c r="G957" s="3"/>
      <c r="H957" s="3"/>
      <c r="I957" s="3"/>
      <c r="J957" s="8"/>
      <c r="K957" s="3"/>
    </row>
    <row r="958" spans="2:11" x14ac:dyDescent="0.3">
      <c r="B958" s="73"/>
      <c r="C958" s="73"/>
      <c r="D958" s="73"/>
      <c r="E958" s="73"/>
      <c r="F958" s="73"/>
      <c r="G958" s="73"/>
      <c r="H958" s="73"/>
      <c r="I958" s="73"/>
      <c r="J958" s="74"/>
      <c r="K958" s="73"/>
    </row>
    <row r="959" spans="2:11" x14ac:dyDescent="0.3">
      <c r="B959" s="3"/>
      <c r="C959" s="3"/>
      <c r="D959" s="3"/>
      <c r="E959" s="3"/>
      <c r="F959" s="3"/>
      <c r="G959" s="3"/>
      <c r="H959" s="3"/>
      <c r="I959" s="3"/>
      <c r="J959" s="8"/>
      <c r="K959" s="3"/>
    </row>
    <row r="960" spans="2:11" x14ac:dyDescent="0.3">
      <c r="B960" s="73"/>
      <c r="C960" s="73"/>
      <c r="D960" s="73"/>
      <c r="E960" s="73"/>
      <c r="F960" s="73"/>
      <c r="G960" s="73"/>
      <c r="H960" s="73"/>
      <c r="I960" s="73"/>
      <c r="J960" s="74"/>
      <c r="K960" s="73"/>
    </row>
    <row r="961" spans="2:11" x14ac:dyDescent="0.3">
      <c r="B961" s="3"/>
      <c r="C961" s="3"/>
      <c r="D961" s="3"/>
      <c r="E961" s="3"/>
      <c r="F961" s="3"/>
      <c r="G961" s="3"/>
      <c r="H961" s="3"/>
      <c r="I961" s="3"/>
      <c r="J961" s="8"/>
      <c r="K961" s="3"/>
    </row>
    <row r="962" spans="2:11" x14ac:dyDescent="0.3">
      <c r="B962" s="73"/>
      <c r="C962" s="73"/>
      <c r="D962" s="73"/>
      <c r="E962" s="73"/>
      <c r="F962" s="73"/>
      <c r="G962" s="73"/>
      <c r="H962" s="73"/>
      <c r="I962" s="73"/>
      <c r="J962" s="74"/>
      <c r="K962" s="73"/>
    </row>
    <row r="963" spans="2:11" x14ac:dyDescent="0.3">
      <c r="B963" s="3"/>
      <c r="C963" s="3"/>
      <c r="D963" s="3"/>
      <c r="E963" s="3"/>
      <c r="F963" s="3"/>
      <c r="G963" s="3"/>
      <c r="H963" s="3"/>
      <c r="I963" s="3"/>
      <c r="J963" s="8"/>
      <c r="K963" s="3"/>
    </row>
    <row r="964" spans="2:11" x14ac:dyDescent="0.3">
      <c r="B964" s="73"/>
      <c r="C964" s="73"/>
      <c r="D964" s="73"/>
      <c r="E964" s="73"/>
      <c r="F964" s="73"/>
      <c r="G964" s="73"/>
      <c r="H964" s="73"/>
      <c r="I964" s="73"/>
      <c r="J964" s="74"/>
      <c r="K964" s="73"/>
    </row>
    <row r="965" spans="2:11" x14ac:dyDescent="0.3">
      <c r="B965" s="3"/>
      <c r="C965" s="3"/>
      <c r="D965" s="3"/>
      <c r="E965" s="3"/>
      <c r="F965" s="3"/>
      <c r="G965" s="3"/>
      <c r="H965" s="3"/>
      <c r="I965" s="3"/>
      <c r="J965" s="8"/>
      <c r="K965" s="3"/>
    </row>
    <row r="966" spans="2:11" x14ac:dyDescent="0.3">
      <c r="B966" s="73"/>
      <c r="C966" s="73"/>
      <c r="D966" s="73"/>
      <c r="E966" s="73"/>
      <c r="F966" s="73"/>
      <c r="G966" s="73"/>
      <c r="H966" s="73"/>
      <c r="I966" s="73"/>
      <c r="J966" s="74"/>
      <c r="K966" s="73"/>
    </row>
    <row r="967" spans="2:11" x14ac:dyDescent="0.3">
      <c r="B967" s="3"/>
      <c r="C967" s="3"/>
      <c r="D967" s="3"/>
      <c r="E967" s="3"/>
      <c r="F967" s="3"/>
      <c r="G967" s="3"/>
      <c r="H967" s="3"/>
      <c r="I967" s="3"/>
      <c r="J967" s="8"/>
      <c r="K967" s="3"/>
    </row>
    <row r="968" spans="2:11" x14ac:dyDescent="0.3">
      <c r="B968" s="73"/>
      <c r="C968" s="73"/>
      <c r="D968" s="73"/>
      <c r="E968" s="73"/>
      <c r="F968" s="73"/>
      <c r="G968" s="73"/>
      <c r="H968" s="73"/>
      <c r="I968" s="73"/>
      <c r="J968" s="74"/>
      <c r="K968" s="73"/>
    </row>
    <row r="969" spans="2:11" x14ac:dyDescent="0.3">
      <c r="B969" s="3"/>
      <c r="C969" s="3"/>
      <c r="D969" s="3"/>
      <c r="E969" s="3"/>
      <c r="F969" s="3"/>
      <c r="G969" s="3"/>
      <c r="H969" s="3"/>
      <c r="I969" s="3"/>
      <c r="J969" s="8"/>
      <c r="K969" s="3"/>
    </row>
    <row r="970" spans="2:11" x14ac:dyDescent="0.3">
      <c r="B970" s="73"/>
      <c r="C970" s="73"/>
      <c r="D970" s="73"/>
      <c r="E970" s="73"/>
      <c r="F970" s="73"/>
      <c r="G970" s="73"/>
      <c r="H970" s="73"/>
      <c r="I970" s="73"/>
      <c r="J970" s="74"/>
      <c r="K970" s="73"/>
    </row>
    <row r="971" spans="2:11" x14ac:dyDescent="0.3">
      <c r="B971" s="3"/>
      <c r="C971" s="3"/>
      <c r="D971" s="3"/>
      <c r="E971" s="3"/>
      <c r="F971" s="3"/>
      <c r="G971" s="3"/>
      <c r="H971" s="3"/>
      <c r="I971" s="3"/>
      <c r="J971" s="8"/>
      <c r="K971" s="3"/>
    </row>
    <row r="972" spans="2:11" x14ac:dyDescent="0.3">
      <c r="B972" s="73"/>
      <c r="C972" s="73"/>
      <c r="D972" s="73"/>
      <c r="E972" s="73"/>
      <c r="F972" s="73"/>
      <c r="G972" s="73"/>
      <c r="H972" s="73"/>
      <c r="I972" s="73"/>
      <c r="J972" s="74"/>
      <c r="K972" s="73"/>
    </row>
    <row r="973" spans="2:11" x14ac:dyDescent="0.3">
      <c r="B973" s="3"/>
      <c r="C973" s="3"/>
      <c r="D973" s="3"/>
      <c r="E973" s="3"/>
      <c r="F973" s="3"/>
      <c r="G973" s="3"/>
      <c r="H973" s="3"/>
      <c r="I973" s="3"/>
      <c r="J973" s="8"/>
      <c r="K973" s="3"/>
    </row>
    <row r="974" spans="2:11" x14ac:dyDescent="0.3">
      <c r="B974" s="73"/>
      <c r="C974" s="73"/>
      <c r="D974" s="73"/>
      <c r="E974" s="73"/>
      <c r="F974" s="73"/>
      <c r="G974" s="73"/>
      <c r="H974" s="73"/>
      <c r="I974" s="73"/>
      <c r="J974" s="74"/>
      <c r="K974" s="73"/>
    </row>
    <row r="975" spans="2:11" x14ac:dyDescent="0.3">
      <c r="B975" s="3"/>
      <c r="C975" s="3"/>
      <c r="D975" s="3"/>
      <c r="E975" s="3"/>
      <c r="F975" s="3"/>
      <c r="G975" s="3"/>
      <c r="H975" s="3"/>
      <c r="I975" s="3"/>
      <c r="J975" s="8"/>
      <c r="K975" s="3"/>
    </row>
    <row r="976" spans="2:11" x14ac:dyDescent="0.3">
      <c r="B976" s="73"/>
      <c r="C976" s="73"/>
      <c r="D976" s="73"/>
      <c r="E976" s="73"/>
      <c r="F976" s="73"/>
      <c r="G976" s="73"/>
      <c r="H976" s="73"/>
      <c r="I976" s="73"/>
      <c r="J976" s="74"/>
      <c r="K976" s="73"/>
    </row>
    <row r="977" spans="2:11" x14ac:dyDescent="0.3">
      <c r="B977" s="3"/>
      <c r="C977" s="3"/>
      <c r="D977" s="3"/>
      <c r="E977" s="3"/>
      <c r="F977" s="3"/>
      <c r="G977" s="3"/>
      <c r="H977" s="3"/>
      <c r="I977" s="3"/>
      <c r="J977" s="8"/>
      <c r="K977" s="3"/>
    </row>
    <row r="978" spans="2:11" x14ac:dyDescent="0.3">
      <c r="B978" s="73"/>
      <c r="C978" s="73"/>
      <c r="D978" s="73"/>
      <c r="E978" s="73"/>
      <c r="F978" s="73"/>
      <c r="G978" s="73"/>
      <c r="H978" s="73"/>
      <c r="I978" s="73"/>
      <c r="J978" s="74"/>
      <c r="K978" s="73"/>
    </row>
    <row r="979" spans="2:11" x14ac:dyDescent="0.3">
      <c r="B979" s="3"/>
      <c r="C979" s="3"/>
      <c r="D979" s="3"/>
      <c r="E979" s="3"/>
      <c r="F979" s="3"/>
      <c r="G979" s="3"/>
      <c r="H979" s="3"/>
      <c r="I979" s="3"/>
      <c r="J979" s="8"/>
      <c r="K979" s="3"/>
    </row>
    <row r="980" spans="2:11" x14ac:dyDescent="0.3">
      <c r="B980" s="73"/>
      <c r="C980" s="73"/>
      <c r="D980" s="73"/>
      <c r="E980" s="73"/>
      <c r="F980" s="73"/>
      <c r="G980" s="73"/>
      <c r="H980" s="73"/>
      <c r="I980" s="73"/>
      <c r="J980" s="74"/>
      <c r="K980" s="73"/>
    </row>
    <row r="981" spans="2:11" x14ac:dyDescent="0.3">
      <c r="B981" s="3"/>
      <c r="C981" s="3"/>
      <c r="D981" s="3"/>
      <c r="E981" s="3"/>
      <c r="F981" s="3"/>
      <c r="G981" s="3"/>
      <c r="H981" s="3"/>
      <c r="I981" s="3"/>
      <c r="J981" s="8"/>
      <c r="K981" s="3"/>
    </row>
    <row r="982" spans="2:11" x14ac:dyDescent="0.3">
      <c r="B982" s="73"/>
      <c r="C982" s="73"/>
      <c r="D982" s="73"/>
      <c r="E982" s="73"/>
      <c r="F982" s="73"/>
      <c r="G982" s="73"/>
      <c r="H982" s="73"/>
      <c r="I982" s="73"/>
      <c r="J982" s="74"/>
      <c r="K982" s="73"/>
    </row>
    <row r="983" spans="2:11" x14ac:dyDescent="0.3">
      <c r="B983" s="3"/>
      <c r="C983" s="3"/>
      <c r="D983" s="3"/>
      <c r="E983" s="3"/>
      <c r="F983" s="3"/>
      <c r="G983" s="3"/>
      <c r="H983" s="3"/>
      <c r="I983" s="3"/>
      <c r="J983" s="8"/>
      <c r="K983" s="3"/>
    </row>
    <row r="984" spans="2:11" x14ac:dyDescent="0.3">
      <c r="B984" s="73"/>
      <c r="C984" s="73"/>
      <c r="D984" s="73"/>
      <c r="E984" s="73"/>
      <c r="F984" s="73"/>
      <c r="G984" s="73"/>
      <c r="H984" s="73"/>
      <c r="I984" s="73"/>
      <c r="J984" s="74"/>
      <c r="K984" s="73"/>
    </row>
    <row r="985" spans="2:11" x14ac:dyDescent="0.3">
      <c r="B985" s="3"/>
      <c r="C985" s="3"/>
      <c r="D985" s="3"/>
      <c r="E985" s="3"/>
      <c r="F985" s="3"/>
      <c r="G985" s="3"/>
      <c r="H985" s="3"/>
      <c r="I985" s="3"/>
      <c r="J985" s="8"/>
      <c r="K985" s="3"/>
    </row>
    <row r="986" spans="2:11" x14ac:dyDescent="0.3">
      <c r="B986" s="73"/>
      <c r="C986" s="73"/>
      <c r="D986" s="73"/>
      <c r="E986" s="73"/>
      <c r="F986" s="73"/>
      <c r="G986" s="73"/>
      <c r="H986" s="73"/>
      <c r="I986" s="73"/>
      <c r="J986" s="74"/>
      <c r="K986" s="73"/>
    </row>
    <row r="987" spans="2:11" x14ac:dyDescent="0.3">
      <c r="B987" s="3"/>
      <c r="C987" s="4"/>
      <c r="D987" s="3"/>
      <c r="E987" s="3"/>
      <c r="F987" s="3"/>
      <c r="G987" s="3"/>
      <c r="H987" s="3"/>
      <c r="I987" s="3"/>
      <c r="J987" s="8"/>
      <c r="K987" s="3"/>
    </row>
    <row r="988" spans="2:11" x14ac:dyDescent="0.3">
      <c r="B988" s="73"/>
      <c r="C988" s="73"/>
      <c r="D988" s="73"/>
      <c r="E988" s="73"/>
      <c r="F988" s="73"/>
      <c r="G988" s="73"/>
      <c r="H988" s="73"/>
      <c r="I988" s="73"/>
      <c r="J988" s="74"/>
      <c r="K988" s="73"/>
    </row>
    <row r="989" spans="2:11" x14ac:dyDescent="0.3">
      <c r="B989" s="3"/>
      <c r="C989" s="3"/>
      <c r="D989" s="3"/>
      <c r="E989" s="3"/>
      <c r="F989" s="3"/>
      <c r="G989" s="3"/>
      <c r="H989" s="3"/>
      <c r="I989" s="3"/>
      <c r="J989" s="8"/>
      <c r="K989" s="3"/>
    </row>
    <row r="990" spans="2:11" x14ac:dyDescent="0.3">
      <c r="B990" s="73"/>
      <c r="C990" s="73"/>
      <c r="D990" s="73"/>
      <c r="E990" s="73"/>
      <c r="F990" s="73"/>
      <c r="G990" s="73"/>
      <c r="H990" s="73"/>
      <c r="I990" s="73"/>
      <c r="J990" s="74"/>
      <c r="K990" s="73"/>
    </row>
    <row r="991" spans="2:11" x14ac:dyDescent="0.3">
      <c r="B991" s="3"/>
      <c r="C991" s="3"/>
      <c r="D991" s="3"/>
      <c r="E991" s="3"/>
      <c r="F991" s="3"/>
      <c r="G991" s="3"/>
      <c r="H991" s="3"/>
      <c r="I991" s="3"/>
      <c r="J991" s="8"/>
      <c r="K991" s="3"/>
    </row>
    <row r="992" spans="2:11" x14ac:dyDescent="0.3">
      <c r="B992" s="73"/>
      <c r="C992" s="73"/>
      <c r="D992" s="73"/>
      <c r="E992" s="73"/>
      <c r="F992" s="73"/>
      <c r="G992" s="73"/>
      <c r="H992" s="73"/>
      <c r="I992" s="73"/>
      <c r="J992" s="74"/>
      <c r="K992" s="73"/>
    </row>
    <row r="993" spans="2:11" x14ac:dyDescent="0.3">
      <c r="B993" s="3"/>
      <c r="C993" s="3"/>
      <c r="D993" s="3"/>
      <c r="E993" s="3"/>
      <c r="F993" s="3"/>
      <c r="G993" s="3"/>
      <c r="H993" s="3"/>
      <c r="I993" s="3"/>
      <c r="J993" s="8"/>
      <c r="K993" s="3"/>
    </row>
    <row r="994" spans="2:11" x14ac:dyDescent="0.3">
      <c r="B994" s="73"/>
      <c r="C994" s="73"/>
      <c r="D994" s="73"/>
      <c r="E994" s="73"/>
      <c r="F994" s="73"/>
      <c r="G994" s="73"/>
      <c r="H994" s="73"/>
      <c r="I994" s="73"/>
      <c r="J994" s="74"/>
      <c r="K994" s="73"/>
    </row>
    <row r="995" spans="2:11" x14ac:dyDescent="0.3">
      <c r="B995" s="3"/>
      <c r="C995" s="3"/>
      <c r="D995" s="3"/>
      <c r="E995" s="3"/>
      <c r="F995" s="3"/>
      <c r="G995" s="3"/>
      <c r="H995" s="3"/>
      <c r="I995" s="3"/>
      <c r="J995" s="8"/>
      <c r="K995" s="3"/>
    </row>
    <row r="996" spans="2:11" x14ac:dyDescent="0.3">
      <c r="B996" s="73"/>
      <c r="C996" s="73"/>
      <c r="D996" s="73"/>
      <c r="E996" s="73"/>
      <c r="F996" s="73"/>
      <c r="G996" s="73"/>
      <c r="H996" s="73"/>
      <c r="I996" s="73"/>
      <c r="J996" s="74"/>
      <c r="K996" s="73"/>
    </row>
    <row r="997" spans="2:11" x14ac:dyDescent="0.3">
      <c r="B997" s="3"/>
      <c r="C997" s="3"/>
      <c r="D997" s="3"/>
      <c r="E997" s="3"/>
      <c r="F997" s="3"/>
      <c r="G997" s="3"/>
      <c r="H997" s="3"/>
      <c r="I997" s="3"/>
      <c r="J997" s="8"/>
      <c r="K997" s="3"/>
    </row>
    <row r="998" spans="2:11" x14ac:dyDescent="0.3">
      <c r="B998" s="73"/>
      <c r="C998" s="73"/>
      <c r="D998" s="73"/>
      <c r="E998" s="73"/>
      <c r="F998" s="73"/>
      <c r="G998" s="73"/>
      <c r="H998" s="73"/>
      <c r="I998" s="73"/>
      <c r="J998" s="74"/>
      <c r="K998" s="73"/>
    </row>
    <row r="999" spans="2:11" x14ac:dyDescent="0.3">
      <c r="B999" s="3"/>
      <c r="C999" s="3"/>
      <c r="D999" s="3"/>
      <c r="E999" s="3"/>
      <c r="F999" s="3"/>
      <c r="G999" s="3"/>
      <c r="H999" s="3"/>
      <c r="I999" s="3"/>
      <c r="J999" s="8"/>
      <c r="K999" s="3"/>
    </row>
    <row r="1000" spans="2:11" x14ac:dyDescent="0.3">
      <c r="B1000" s="73"/>
      <c r="C1000" s="73"/>
      <c r="D1000" s="73"/>
      <c r="E1000" s="73"/>
      <c r="F1000" s="75"/>
      <c r="G1000" s="73"/>
      <c r="H1000" s="75"/>
      <c r="I1000" s="73"/>
      <c r="J1000" s="74"/>
      <c r="K1000" s="75"/>
    </row>
    <row r="1001" spans="2:11" x14ac:dyDescent="0.3">
      <c r="B1001" s="3"/>
      <c r="C1001" s="3"/>
      <c r="D1001" s="3"/>
      <c r="E1001" s="3"/>
      <c r="F1001" s="3"/>
      <c r="G1001" s="3"/>
      <c r="H1001" s="3"/>
      <c r="I1001" s="3"/>
      <c r="J1001" s="8"/>
      <c r="K1001" s="3"/>
    </row>
    <row r="1002" spans="2:11" x14ac:dyDescent="0.3">
      <c r="B1002" s="73"/>
      <c r="C1002" s="73"/>
      <c r="D1002" s="73"/>
      <c r="E1002" s="73"/>
      <c r="F1002" s="73"/>
      <c r="G1002" s="73"/>
      <c r="H1002" s="73"/>
      <c r="I1002" s="73"/>
      <c r="J1002" s="74"/>
      <c r="K1002" s="73"/>
    </row>
    <row r="1003" spans="2:11" x14ac:dyDescent="0.3">
      <c r="B1003" s="3"/>
      <c r="C1003" s="3"/>
      <c r="D1003" s="3"/>
      <c r="E1003" s="3"/>
      <c r="F1003" s="3"/>
      <c r="G1003" s="3"/>
      <c r="H1003" s="3"/>
      <c r="I1003" s="3"/>
      <c r="J1003" s="8"/>
      <c r="K1003" s="3"/>
    </row>
    <row r="1004" spans="2:11" x14ac:dyDescent="0.3">
      <c r="B1004" s="73"/>
      <c r="C1004" s="75"/>
      <c r="D1004" s="75"/>
      <c r="E1004" s="75"/>
      <c r="F1004" s="75"/>
      <c r="G1004" s="73"/>
      <c r="H1004" s="75"/>
      <c r="I1004" s="73"/>
      <c r="J1004" s="76"/>
      <c r="K1004" s="75"/>
    </row>
    <row r="1005" spans="2:11" x14ac:dyDescent="0.3">
      <c r="B1005" s="3"/>
      <c r="C1005" s="1"/>
      <c r="D1005" s="1"/>
      <c r="E1005" s="1"/>
      <c r="F1005" s="1"/>
      <c r="G1005" s="3"/>
      <c r="H1005" s="1"/>
      <c r="I1005" s="3"/>
      <c r="J1005" s="9"/>
      <c r="K1005" s="1"/>
    </row>
    <row r="1006" spans="2:11" x14ac:dyDescent="0.3">
      <c r="B1006" s="73"/>
      <c r="C1006" s="75"/>
      <c r="D1006" s="75"/>
      <c r="E1006" s="75"/>
      <c r="F1006" s="75"/>
      <c r="G1006" s="73"/>
      <c r="H1006" s="75"/>
      <c r="I1006" s="73"/>
      <c r="J1006" s="76"/>
      <c r="K1006" s="75"/>
    </row>
    <row r="1007" spans="2:11" x14ac:dyDescent="0.3">
      <c r="B1007" s="3"/>
      <c r="C1007" s="1"/>
      <c r="D1007" s="1"/>
      <c r="E1007" s="1"/>
      <c r="F1007" s="1"/>
      <c r="G1007" s="3"/>
      <c r="H1007" s="1"/>
      <c r="I1007" s="3"/>
      <c r="J1007" s="9"/>
      <c r="K1007" s="1"/>
    </row>
    <row r="1008" spans="2:11" x14ac:dyDescent="0.3">
      <c r="B1008" s="73"/>
      <c r="C1008" s="75"/>
      <c r="D1008" s="75"/>
      <c r="E1008" s="75"/>
      <c r="F1008" s="75"/>
      <c r="G1008" s="73"/>
      <c r="H1008" s="75"/>
      <c r="I1008" s="73"/>
      <c r="J1008" s="76"/>
      <c r="K1008" s="75"/>
    </row>
    <row r="1009" spans="2:28" x14ac:dyDescent="0.3">
      <c r="B1009" s="3"/>
      <c r="C1009" s="1"/>
      <c r="D1009" s="1"/>
      <c r="E1009" s="1"/>
      <c r="F1009" s="1"/>
      <c r="G1009" s="3"/>
      <c r="H1009" s="1"/>
      <c r="I1009" s="3"/>
      <c r="J1009" s="9"/>
      <c r="K1009" s="1"/>
    </row>
    <row r="1010" spans="2:28" x14ac:dyDescent="0.3">
      <c r="B1010" s="73"/>
      <c r="C1010" s="75"/>
      <c r="D1010" s="75"/>
      <c r="E1010" s="75"/>
      <c r="F1010" s="75"/>
      <c r="G1010" s="73"/>
      <c r="H1010" s="75"/>
      <c r="I1010" s="73"/>
      <c r="J1010" s="76"/>
      <c r="K1010" s="75"/>
    </row>
    <row r="1011" spans="2:28" x14ac:dyDescent="0.3">
      <c r="B1011" s="3"/>
      <c r="C1011" s="1"/>
      <c r="D1011" s="1"/>
      <c r="E1011" s="1"/>
      <c r="F1011" s="1"/>
      <c r="G1011" s="3"/>
      <c r="H1011" s="1"/>
      <c r="I1011" s="3"/>
      <c r="J1011" s="9"/>
      <c r="K1011" s="1"/>
    </row>
    <row r="1012" spans="2:28" x14ac:dyDescent="0.3">
      <c r="B1012" s="73"/>
      <c r="C1012" s="75"/>
      <c r="D1012" s="75"/>
      <c r="E1012" s="75"/>
      <c r="F1012" s="75"/>
      <c r="G1012" s="73"/>
      <c r="H1012" s="75"/>
      <c r="I1012" s="73"/>
      <c r="J1012" s="76"/>
      <c r="K1012" s="75"/>
    </row>
    <row r="1013" spans="2:28" x14ac:dyDescent="0.3">
      <c r="B1013" s="3"/>
      <c r="C1013" s="1"/>
      <c r="D1013" s="1"/>
      <c r="E1013" s="1"/>
      <c r="F1013" s="1"/>
      <c r="G1013" s="3"/>
      <c r="H1013" s="1"/>
      <c r="I1013" s="3"/>
      <c r="J1013" s="9"/>
      <c r="K1013" s="1"/>
    </row>
    <row r="1014" spans="2:28" x14ac:dyDescent="0.3">
      <c r="B1014" s="73"/>
      <c r="C1014" s="75"/>
      <c r="D1014" s="75"/>
      <c r="E1014" s="75"/>
      <c r="F1014" s="75"/>
      <c r="G1014" s="73"/>
      <c r="H1014" s="75"/>
      <c r="I1014" s="73"/>
      <c r="J1014" s="76"/>
      <c r="K1014" s="75"/>
    </row>
    <row r="1015" spans="2:28" x14ac:dyDescent="0.3">
      <c r="B1015" s="3"/>
      <c r="C1015" s="1"/>
      <c r="D1015" s="1"/>
      <c r="E1015" s="1"/>
      <c r="F1015" s="1"/>
      <c r="G1015" s="3"/>
      <c r="H1015" s="1"/>
      <c r="I1015" s="3"/>
      <c r="J1015" s="9"/>
      <c r="K1015" s="1"/>
    </row>
    <row r="1016" spans="2:28" x14ac:dyDescent="0.3">
      <c r="B1016" s="73"/>
      <c r="C1016" s="75"/>
      <c r="D1016" s="75"/>
      <c r="E1016" s="75"/>
      <c r="F1016" s="75"/>
      <c r="G1016" s="73"/>
      <c r="H1016" s="75"/>
      <c r="I1016" s="73"/>
      <c r="J1016" s="76"/>
      <c r="K1016" s="75"/>
    </row>
    <row r="1017" spans="2:28" x14ac:dyDescent="0.3">
      <c r="B1017" s="3"/>
      <c r="C1017" s="1"/>
      <c r="D1017" s="1"/>
      <c r="E1017" s="1"/>
      <c r="F1017" s="1"/>
      <c r="G1017" s="3"/>
      <c r="H1017" s="1"/>
      <c r="I1017" s="3"/>
      <c r="J1017" s="9"/>
      <c r="K1017" s="1"/>
    </row>
    <row r="1018" spans="2:28" x14ac:dyDescent="0.3">
      <c r="B1018" s="73"/>
      <c r="C1018" s="75"/>
      <c r="D1018" s="75"/>
      <c r="E1018" s="75"/>
      <c r="F1018" s="75"/>
      <c r="G1018" s="73"/>
      <c r="H1018" s="75"/>
      <c r="I1018" s="73"/>
      <c r="J1018" s="76"/>
      <c r="K1018" s="75"/>
    </row>
    <row r="1019" spans="2:28" x14ac:dyDescent="0.3">
      <c r="B1019" s="3"/>
      <c r="C1019" s="1"/>
      <c r="D1019" s="1"/>
      <c r="E1019" s="1"/>
      <c r="F1019" s="1"/>
      <c r="G1019" s="3"/>
      <c r="H1019" s="1"/>
      <c r="I1019" s="3"/>
      <c r="J1019" s="9"/>
      <c r="K1019" s="1"/>
    </row>
    <row r="1020" spans="2:28" x14ac:dyDescent="0.3">
      <c r="B1020" s="73"/>
      <c r="C1020" s="73"/>
      <c r="D1020" s="75"/>
      <c r="E1020" s="75"/>
      <c r="F1020" s="75"/>
      <c r="G1020" s="73"/>
      <c r="H1020" s="75"/>
      <c r="I1020" s="73"/>
      <c r="J1020" s="74"/>
      <c r="K1020" s="75"/>
    </row>
    <row r="1021" spans="2:28" x14ac:dyDescent="0.3">
      <c r="B1021" s="3"/>
      <c r="C1021" s="3"/>
      <c r="D1021" s="3"/>
      <c r="E1021" s="3"/>
      <c r="F1021" s="3"/>
      <c r="G1021" s="3"/>
      <c r="H1021" s="3"/>
      <c r="I1021" s="3"/>
      <c r="J1021" s="8"/>
      <c r="K1021" s="3"/>
    </row>
    <row r="1022" spans="2:28" x14ac:dyDescent="0.3">
      <c r="P1022" s="88"/>
      <c r="Q1022" s="88"/>
      <c r="R1022" s="88"/>
      <c r="S1022" s="88"/>
      <c r="T1022" s="88"/>
      <c r="U1022" s="88"/>
      <c r="V1022" s="88"/>
      <c r="W1022" s="88"/>
      <c r="X1022" s="88"/>
      <c r="Y1022" s="88"/>
      <c r="Z1022" s="88"/>
      <c r="AA1022" s="88"/>
      <c r="AB1022" s="88"/>
    </row>
  </sheetData>
  <dataValidations disablePrompts="1" count="1">
    <dataValidation type="list" allowBlank="1" showInputMessage="1" showErrorMessage="1" sqref="F409:F427 F350:F376 F495:F513 F478:F479 F463:F475 F641:F659 F866:F885 F805 F792:F803 F1001 F216:F244 F908:H927 F988:H999 F767:H786 G866:H888 G843:H843 G792:H805" xr:uid="{B2D40912-0070-4E73-82C4-3BA144D3E13D}">
      <formula1>#REF!</formula1>
    </dataValidation>
  </dataValidations>
  <pageMargins left="0.7" right="0.7" top="0.75" bottom="0.75" header="0.3" footer="0.3"/>
  <pageSetup paperSize="9" orientation="portrait" r:id="rId1"/>
  <headerFooter>
    <oddFooter>&amp;L&amp;1#&amp;"Calibri"&amp;7&amp;K000000C2 General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B3965-C4F5-4F69-B3C1-B83AC5B2ABB8}">
  <sheetPr codeName="Sheet8"/>
  <dimension ref="A1"/>
  <sheetViews>
    <sheetView workbookViewId="0">
      <selection activeCell="N12" sqref="N12"/>
    </sheetView>
  </sheetViews>
  <sheetFormatPr defaultRowHeight="14.4" x14ac:dyDescent="0.3"/>
  <sheetData/>
  <pageMargins left="0.7" right="0.7" top="0.75" bottom="0.75" header="0.3" footer="0.3"/>
  <pageSetup paperSize="9" orientation="portrait" r:id="rId1"/>
  <headerFooter>
    <oddFooter>&amp;L&amp;1#&amp;"Calibri"&amp;7&amp;K000000C2 General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FC791-0A20-4BBF-BDD2-ABED630DA062}">
  <sheetPr codeName="Sheet3"/>
  <dimension ref="B1:T47"/>
  <sheetViews>
    <sheetView showGridLines="0" topLeftCell="D1" workbookViewId="0">
      <selection activeCell="H10" sqref="H10"/>
    </sheetView>
  </sheetViews>
  <sheetFormatPr defaultRowHeight="14.4" x14ac:dyDescent="0.3"/>
  <cols>
    <col min="2" max="2" width="10.6640625" style="25" bestFit="1" customWidth="1"/>
    <col min="3" max="3" width="15.6640625" style="25" bestFit="1" customWidth="1"/>
    <col min="5" max="5" width="10.109375" bestFit="1" customWidth="1"/>
    <col min="7" max="7" width="10.109375" bestFit="1" customWidth="1"/>
    <col min="8" max="8" width="8.5546875" bestFit="1" customWidth="1"/>
    <col min="9" max="10" width="12.33203125" bestFit="1" customWidth="1"/>
    <col min="11" max="11" width="10.6640625" bestFit="1" customWidth="1"/>
    <col min="13" max="13" width="16.5546875" bestFit="1" customWidth="1"/>
    <col min="15" max="15" width="11" bestFit="1" customWidth="1"/>
    <col min="17" max="17" width="16.5546875" bestFit="1" customWidth="1"/>
  </cols>
  <sheetData>
    <row r="1" spans="2:20" x14ac:dyDescent="0.3">
      <c r="B1" s="97"/>
      <c r="C1" s="97"/>
    </row>
    <row r="2" spans="2:20" x14ac:dyDescent="0.3">
      <c r="B2" s="97"/>
      <c r="C2" s="97"/>
    </row>
    <row r="3" spans="2:20" x14ac:dyDescent="0.3">
      <c r="B3" s="97"/>
      <c r="C3" s="97"/>
    </row>
    <row r="4" spans="2:20" x14ac:dyDescent="0.3">
      <c r="B4" s="97"/>
      <c r="C4" s="97"/>
    </row>
    <row r="5" spans="2:20" x14ac:dyDescent="0.3">
      <c r="B5" s="97"/>
      <c r="C5" s="97"/>
      <c r="S5" s="100"/>
      <c r="T5" s="100"/>
    </row>
    <row r="6" spans="2:20" ht="15" thickBot="1" x14ac:dyDescent="0.35">
      <c r="B6"/>
      <c r="C6"/>
      <c r="S6" s="100" t="s">
        <v>65</v>
      </c>
      <c r="T6" s="100"/>
    </row>
    <row r="7" spans="2:20" ht="15" thickBot="1" x14ac:dyDescent="0.35">
      <c r="B7" s="93" t="s">
        <v>58</v>
      </c>
      <c r="C7" s="94" t="s">
        <v>57</v>
      </c>
      <c r="G7" s="93" t="s">
        <v>59</v>
      </c>
      <c r="H7" s="96" t="s">
        <v>60</v>
      </c>
      <c r="I7" s="96" t="s">
        <v>61</v>
      </c>
      <c r="J7" s="96" t="s">
        <v>61</v>
      </c>
      <c r="K7" s="94" t="s">
        <v>61</v>
      </c>
      <c r="O7" s="95" t="s">
        <v>62</v>
      </c>
      <c r="Q7" s="95" t="s">
        <v>63</v>
      </c>
      <c r="S7" s="100" t="s">
        <v>64</v>
      </c>
      <c r="T7" s="100" t="s">
        <v>60</v>
      </c>
    </row>
    <row r="8" spans="2:20" x14ac:dyDescent="0.3">
      <c r="B8" s="92" t="s">
        <v>56</v>
      </c>
      <c r="C8" s="98">
        <v>44551.668240740742</v>
      </c>
      <c r="G8" s="92" t="s">
        <v>74</v>
      </c>
      <c r="H8" s="92">
        <v>2022</v>
      </c>
      <c r="I8" s="92" t="s">
        <v>66</v>
      </c>
      <c r="J8" s="92"/>
      <c r="K8" s="92"/>
      <c r="O8" s="25" t="s">
        <v>56</v>
      </c>
      <c r="Q8" s="25" t="s">
        <v>73</v>
      </c>
      <c r="S8" s="100" t="s">
        <v>56</v>
      </c>
      <c r="T8" s="100">
        <v>8088</v>
      </c>
    </row>
    <row r="9" spans="2:20" x14ac:dyDescent="0.3">
      <c r="B9" s="25" t="s">
        <v>74</v>
      </c>
      <c r="C9" s="99">
        <v>44551.671354166669</v>
      </c>
      <c r="G9" s="25"/>
      <c r="H9" s="25"/>
      <c r="I9" s="25"/>
      <c r="J9" s="25"/>
      <c r="K9" s="25"/>
      <c r="Q9" s="25" t="s">
        <v>66</v>
      </c>
      <c r="S9" s="100"/>
      <c r="T9" s="100"/>
    </row>
    <row r="10" spans="2:20" x14ac:dyDescent="0.3">
      <c r="B10" s="25" t="s">
        <v>56</v>
      </c>
      <c r="C10" s="99">
        <v>44551.672060185185</v>
      </c>
      <c r="G10" s="25"/>
      <c r="H10" s="25"/>
      <c r="I10" s="25"/>
      <c r="J10" s="25"/>
      <c r="K10" s="25"/>
      <c r="Q10" s="25" t="s">
        <v>67</v>
      </c>
      <c r="S10" s="100"/>
      <c r="T10" s="100"/>
    </row>
    <row r="11" spans="2:20" x14ac:dyDescent="0.3">
      <c r="B11" s="25" t="s">
        <v>56</v>
      </c>
      <c r="C11" s="99">
        <v>44551.677743055552</v>
      </c>
      <c r="G11" s="25"/>
      <c r="H11" s="25"/>
      <c r="I11" s="25"/>
      <c r="J11" s="25"/>
      <c r="K11" s="25"/>
      <c r="Q11" s="25" t="s">
        <v>68</v>
      </c>
      <c r="S11" s="100"/>
      <c r="T11" s="100"/>
    </row>
    <row r="12" spans="2:20" x14ac:dyDescent="0.3">
      <c r="B12" s="25" t="s">
        <v>56</v>
      </c>
      <c r="C12" s="99">
        <v>44551.678171296298</v>
      </c>
      <c r="G12" s="25"/>
      <c r="H12" s="25"/>
      <c r="I12" s="25"/>
      <c r="J12" s="25"/>
      <c r="K12" s="25"/>
      <c r="Q12" s="25" t="s">
        <v>69</v>
      </c>
      <c r="S12" s="100"/>
      <c r="T12" s="100"/>
    </row>
    <row r="13" spans="2:20" x14ac:dyDescent="0.3">
      <c r="B13" s="25" t="s">
        <v>56</v>
      </c>
      <c r="C13" s="99">
        <v>44551.678449074076</v>
      </c>
      <c r="G13" s="25"/>
      <c r="H13" s="25"/>
      <c r="I13" s="25"/>
      <c r="J13" s="25"/>
      <c r="K13" s="25"/>
      <c r="Q13" s="25" t="s">
        <v>70</v>
      </c>
      <c r="S13" s="100"/>
      <c r="T13" s="100"/>
    </row>
    <row r="14" spans="2:20" x14ac:dyDescent="0.3">
      <c r="C14" s="99"/>
      <c r="G14" s="25"/>
      <c r="H14" s="25"/>
      <c r="I14" s="25"/>
      <c r="J14" s="25"/>
      <c r="K14" s="25"/>
      <c r="Q14" s="25" t="s">
        <v>71</v>
      </c>
      <c r="S14" s="100"/>
      <c r="T14" s="100"/>
    </row>
    <row r="15" spans="2:20" x14ac:dyDescent="0.3">
      <c r="C15" s="99"/>
      <c r="G15" s="92" t="s">
        <v>56</v>
      </c>
      <c r="H15" s="92">
        <v>8088</v>
      </c>
      <c r="I15" s="92" t="s">
        <v>66</v>
      </c>
      <c r="J15" s="92" t="s">
        <v>67</v>
      </c>
      <c r="K15" s="92" t="s">
        <v>69</v>
      </c>
      <c r="Q15" s="25" t="s">
        <v>72</v>
      </c>
      <c r="S15" s="100"/>
      <c r="T15" s="100"/>
    </row>
    <row r="16" spans="2:20" x14ac:dyDescent="0.3">
      <c r="C16" s="99"/>
      <c r="G16" s="25"/>
      <c r="H16" s="25"/>
      <c r="I16" s="92"/>
      <c r="J16" s="25"/>
      <c r="K16" s="25"/>
      <c r="S16" s="100"/>
      <c r="T16" s="100"/>
    </row>
    <row r="17" spans="3:20" x14ac:dyDescent="0.3">
      <c r="C17" s="99"/>
      <c r="G17" s="92"/>
      <c r="H17" s="92"/>
      <c r="I17" s="92"/>
      <c r="J17" s="92"/>
      <c r="K17" s="92"/>
      <c r="S17" s="100"/>
      <c r="T17" s="100"/>
    </row>
    <row r="18" spans="3:20" x14ac:dyDescent="0.3">
      <c r="C18" s="99"/>
      <c r="G18" s="25"/>
      <c r="H18" s="25"/>
      <c r="I18" s="25"/>
      <c r="J18" s="25"/>
      <c r="K18" s="25"/>
      <c r="S18" s="100"/>
      <c r="T18" s="100"/>
    </row>
    <row r="19" spans="3:20" x14ac:dyDescent="0.3">
      <c r="C19" s="99"/>
      <c r="G19" s="25"/>
      <c r="H19" s="25"/>
      <c r="I19" s="25"/>
      <c r="J19" s="25"/>
      <c r="K19" s="25"/>
      <c r="S19" s="100"/>
      <c r="T19" s="100"/>
    </row>
    <row r="20" spans="3:20" x14ac:dyDescent="0.3">
      <c r="C20" s="99"/>
      <c r="G20" s="25"/>
      <c r="H20" s="25"/>
      <c r="I20" s="25"/>
      <c r="J20" s="25"/>
      <c r="K20" s="25"/>
      <c r="S20" s="100"/>
      <c r="T20" s="100"/>
    </row>
    <row r="21" spans="3:20" x14ac:dyDescent="0.3">
      <c r="C21" s="99"/>
      <c r="G21" s="25"/>
      <c r="H21" s="25"/>
      <c r="I21" s="25"/>
      <c r="J21" s="25"/>
      <c r="K21" s="25"/>
      <c r="S21" s="100"/>
      <c r="T21" s="100"/>
    </row>
    <row r="22" spans="3:20" x14ac:dyDescent="0.3">
      <c r="C22" s="99"/>
      <c r="G22" s="25"/>
      <c r="H22" s="25"/>
      <c r="I22" s="25"/>
      <c r="J22" s="25"/>
      <c r="K22" s="25"/>
      <c r="S22" s="100"/>
      <c r="T22" s="100"/>
    </row>
    <row r="23" spans="3:20" x14ac:dyDescent="0.3">
      <c r="C23" s="99"/>
      <c r="G23" s="25"/>
      <c r="H23" s="25"/>
      <c r="I23" s="25"/>
      <c r="J23" s="25"/>
      <c r="K23" s="25"/>
      <c r="S23" s="100"/>
      <c r="T23" s="100"/>
    </row>
    <row r="24" spans="3:20" x14ac:dyDescent="0.3">
      <c r="C24" s="99"/>
      <c r="G24" s="25"/>
      <c r="H24" s="25"/>
      <c r="I24" s="25"/>
      <c r="J24" s="25"/>
      <c r="K24" s="25"/>
      <c r="S24" s="100"/>
      <c r="T24" s="100"/>
    </row>
    <row r="25" spans="3:20" x14ac:dyDescent="0.3">
      <c r="C25" s="99"/>
      <c r="G25" s="25"/>
      <c r="H25" s="25"/>
      <c r="I25" s="25"/>
      <c r="J25" s="25"/>
      <c r="K25" s="25"/>
      <c r="S25" s="100"/>
      <c r="T25" s="100"/>
    </row>
    <row r="26" spans="3:20" x14ac:dyDescent="0.3">
      <c r="C26" s="99"/>
      <c r="G26" s="25"/>
      <c r="H26" s="25"/>
      <c r="I26" s="25"/>
      <c r="J26" s="25"/>
      <c r="K26" s="25"/>
      <c r="S26" s="100"/>
      <c r="T26" s="100"/>
    </row>
    <row r="27" spans="3:20" x14ac:dyDescent="0.3">
      <c r="C27" s="99"/>
      <c r="G27" s="25"/>
      <c r="H27" s="25"/>
      <c r="I27" s="25"/>
      <c r="J27" s="25"/>
      <c r="K27" s="25"/>
      <c r="S27" s="100"/>
      <c r="T27" s="100"/>
    </row>
    <row r="28" spans="3:20" x14ac:dyDescent="0.3">
      <c r="C28" s="99"/>
      <c r="G28" s="25"/>
      <c r="H28" s="25"/>
      <c r="I28" s="25"/>
      <c r="J28" s="25"/>
      <c r="K28" s="25"/>
    </row>
    <row r="29" spans="3:20" x14ac:dyDescent="0.3">
      <c r="C29" s="99"/>
      <c r="G29" s="25"/>
      <c r="H29" s="25"/>
      <c r="I29" s="25"/>
      <c r="J29" s="25"/>
      <c r="K29" s="25"/>
    </row>
    <row r="30" spans="3:20" x14ac:dyDescent="0.3">
      <c r="C30" s="99"/>
      <c r="G30" s="25"/>
      <c r="H30" s="25"/>
      <c r="I30" s="25"/>
      <c r="J30" s="25"/>
      <c r="K30" s="25"/>
    </row>
    <row r="31" spans="3:20" x14ac:dyDescent="0.3">
      <c r="C31" s="99"/>
      <c r="G31" s="25"/>
      <c r="H31" s="25"/>
      <c r="I31" s="25"/>
      <c r="J31" s="25"/>
      <c r="K31" s="25"/>
    </row>
    <row r="32" spans="3:20" x14ac:dyDescent="0.3">
      <c r="C32" s="99"/>
      <c r="G32" s="25"/>
      <c r="H32" s="25"/>
      <c r="I32" s="25"/>
      <c r="J32" s="25"/>
      <c r="K32" s="25"/>
    </row>
    <row r="33" spans="3:11" x14ac:dyDescent="0.3">
      <c r="C33" s="99"/>
      <c r="G33" s="25"/>
      <c r="H33" s="25"/>
      <c r="I33" s="25"/>
      <c r="J33" s="25"/>
      <c r="K33" s="25"/>
    </row>
    <row r="34" spans="3:11" x14ac:dyDescent="0.3">
      <c r="C34" s="99"/>
      <c r="G34" s="25"/>
      <c r="H34" s="25"/>
      <c r="I34" s="25"/>
      <c r="J34" s="25"/>
      <c r="K34" s="25"/>
    </row>
    <row r="35" spans="3:11" x14ac:dyDescent="0.3">
      <c r="C35" s="99"/>
      <c r="G35" s="25"/>
      <c r="H35" s="25"/>
      <c r="I35" s="25"/>
      <c r="J35" s="25"/>
      <c r="K35" s="25"/>
    </row>
    <row r="36" spans="3:11" x14ac:dyDescent="0.3">
      <c r="C36" s="99"/>
    </row>
    <row r="37" spans="3:11" x14ac:dyDescent="0.3">
      <c r="C37" s="99"/>
    </row>
    <row r="38" spans="3:11" x14ac:dyDescent="0.3">
      <c r="C38" s="99"/>
    </row>
    <row r="39" spans="3:11" x14ac:dyDescent="0.3">
      <c r="C39" s="99"/>
    </row>
    <row r="40" spans="3:11" x14ac:dyDescent="0.3">
      <c r="C40" s="99"/>
    </row>
    <row r="41" spans="3:11" x14ac:dyDescent="0.3">
      <c r="C41" s="99"/>
    </row>
    <row r="42" spans="3:11" x14ac:dyDescent="0.3">
      <c r="C42" s="99"/>
    </row>
    <row r="43" spans="3:11" x14ac:dyDescent="0.3">
      <c r="C43" s="99"/>
    </row>
    <row r="44" spans="3:11" x14ac:dyDescent="0.3">
      <c r="C44" s="99"/>
    </row>
    <row r="45" spans="3:11" x14ac:dyDescent="0.3">
      <c r="C45" s="99"/>
    </row>
    <row r="46" spans="3:11" x14ac:dyDescent="0.3">
      <c r="C46" s="99"/>
    </row>
    <row r="47" spans="3:11" x14ac:dyDescent="0.3">
      <c r="C47" s="99"/>
    </row>
  </sheetData>
  <dataValidations count="1">
    <dataValidation type="list" allowBlank="1" showInputMessage="1" showErrorMessage="1" sqref="I8:K35" xr:uid="{27A8CD55-708F-444E-ABDA-D5DBF7B89BE8}">
      <formula1>SheetNames</formula1>
    </dataValidation>
  </dataValidations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Interface</vt:lpstr>
      <vt:lpstr>Dashboard</vt:lpstr>
      <vt:lpstr>Dashboard (2)</vt:lpstr>
      <vt:lpstr>caluculation</vt:lpstr>
      <vt:lpstr>WL Records</vt:lpstr>
      <vt:lpstr>Updates_Database</vt:lpstr>
      <vt:lpstr>SearchData</vt:lpstr>
      <vt:lpstr>Login</vt:lpstr>
      <vt:lpstr>CurrentUser</vt:lpstr>
    </vt:vector>
  </TitlesOfParts>
  <Manager/>
  <Company>Vodafone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Shiri, Amr, Vodafone Group</dc:creator>
  <cp:keywords/>
  <dc:description/>
  <cp:lastModifiedBy>Fouad ElKomy, Mohamed, Vodafone Group</cp:lastModifiedBy>
  <cp:revision/>
  <dcterms:created xsi:type="dcterms:W3CDTF">2020-04-09T15:01:10Z</dcterms:created>
  <dcterms:modified xsi:type="dcterms:W3CDTF">2021-12-21T14:17:31Z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2021-11-25T16:47:39Z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/>
  </property>
  <property fmtid="{D5CDD505-2E9C-101B-9397-08002B2CF9AE}" pid="8" name="MSIP_Label_0359f705-2ba0-454b-9cfc-6ce5bcaac040_ContentBits">
    <vt:lpwstr>2</vt:lpwstr>
  </property>
</Properties>
</file>